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67" documentId="8_{BB149310-9C70-4F0D-AF38-12983800A995}" xr6:coauthVersionLast="47" xr6:coauthVersionMax="47" xr10:uidLastSave="{21CF5B0A-DF20-4D24-AC90-2F60D4B94ECC}"/>
  <bookViews>
    <workbookView xWindow="-108" yWindow="-108" windowWidth="23256" windowHeight="13896" xr2:uid="{00000000-000D-0000-FFFF-FFFF00000000}"/>
  </bookViews>
  <sheets>
    <sheet name="Sheet1" sheetId="5" r:id="rId1"/>
    <sheet name="Sheet2" sheetId="6" r:id="rId2"/>
    <sheet name="Sheet3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D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<sst xmlns="http://schemas.openxmlformats.org/spreadsheetml/2006/main" count="211" uniqueCount="148">
  <si>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</si>
  <si>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</si>
  <si>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</si>
  <si>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</si>
  <si>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</si>
  <si>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</si>
  <si>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</si>
  <si>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</si>
  <si>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</si>
  <si>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</si>
  <si>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</si>
  <si>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</si>
  <si>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</si>
  <si>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</si>
  <si>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</si>
  <si>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</si>
  <si>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</si>
  <si>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</si>
  <si>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</si>
  <si>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</si>
  <si>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</si>
  <si>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</si>
  <si>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</si>
  <si>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</si>
  <si>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</si>
  <si>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</si>
  <si>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</si>
  <si>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</si>
  <si>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</si>
  <si>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</si>
  <si>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</si>
  <si>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</si>
  <si>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</si>
  <si>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</si>
  <si>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</si>
  <si>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</si>
  <si>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</si>
  <si>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</si>
  <si>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</si>
  <si>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</si>
  <si>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</si>
  <si>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</si>
  <si>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</si>
  <si>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ΣΑΚΑΛΑΚΗΣ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</si>
  <si>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</si>
  <si>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</si>
  <si>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</si>
  <si>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</si>
  <si>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</si>
  <si>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</si>
  <si>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</si>
  <si>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</si>
  <si>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</si>
  <si>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</si>
  <si>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</si>
  <si>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</si>
  <si>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</si>
  <si>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</si>
  <si>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</si>
  <si>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</si>
  <si>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</si>
  <si>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</si>
  <si>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</si>
  <si>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</si>
  <si>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</si>
  <si>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</si>
  <si>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</si>
  <si>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</si>
  <si>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</si>
  <si>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</si>
  <si>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</si>
  <si>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</si>
  <si>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</si>
  <si>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</si>
  <si>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</si>
  <si>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</si>
  <si>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</si>
  <si>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</si>
  <si>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</si>
  <si>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</si>
  <si>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</si>
  <si>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</si>
  <si>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</si>
  <si>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</si>
  <si>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</si>
  <si>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</si>
  <si>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</si>
  <si>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</si>
  <si>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</si>
  <si>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</si>
  <si>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</si>
  <si>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</si>
  <si>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</si>
  <si>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</si>
  <si>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</si>
  <si>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</si>
  <si>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</si>
  <si>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</si>
  <si>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</si>
  <si>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</si>
  <si>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</si>
  <si>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</si>
  <si>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</si>
  <si>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</si>
  <si>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</si>
  <si>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ΚΥΡΑΝΑΣ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</si>
  <si>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</si>
  <si>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</si>
  <si>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</si>
  <si>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</si>
  <si>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</si>
  <si>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</si>
  <si>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</si>
  <si>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</si>
  <si>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</si>
  <si>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</si>
  <si>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</si>
  <si>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</si>
  <si>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</si>
  <si>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</si>
  <si>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</si>
  <si>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</si>
  <si>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</si>
  <si>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</si>
  <si>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</si>
  <si>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</si>
  <si>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</si>
  <si>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</si>
  <si>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</si>
  <si>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</si>
  <si>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Εδεσσαικος</t>
  </si>
  <si>
    <t>Νικη</t>
  </si>
  <si>
    <t>Εκτος</t>
  </si>
  <si>
    <t>Χορτο</t>
  </si>
  <si>
    <t>ΤΑΣΣΗΣ</t>
  </si>
  <si>
    <t>ΔΑΝΙΔΗΣ</t>
  </si>
  <si>
    <t>ΚΩΤΕΛΗΣ</t>
  </si>
  <si>
    <t>ΠΑΠΑΔΟΠΟΥΛΟΣ</t>
  </si>
  <si>
    <t>ΑΛΕΞΙΟΥ</t>
  </si>
  <si>
    <t>KNAJ</t>
  </si>
  <si>
    <t>ΔΗΜΗΤΡΙΑΔΗΣ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</si>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</sst>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tabSelected="1" workbookViewId="0">
      <selection activeCell="AS1" sqref="AS1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78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69</v>
      </c>
      <c r="M1" s="4" t="s">
        <v>110</v>
      </c>
      <c r="N1" s="4" t="s">
        <v>81</v>
      </c>
      <c r="O1" s="4" t="s">
        <v>82</v>
      </c>
      <c r="P1" s="4" t="s">
        <v>111</v>
      </c>
      <c r="Q1" s="4" t="s">
        <v>92</v>
      </c>
      <c r="R1" s="4" t="s">
        <v>70</v>
      </c>
      <c r="S1" s="4" t="s">
        <v>112</v>
      </c>
      <c r="T1" s="4" t="s">
        <v>93</v>
      </c>
      <c r="U1" s="4" t="s">
        <v>83</v>
      </c>
      <c r="V1" s="4" t="s">
        <v>113</v>
      </c>
      <c r="W1" s="4" t="s">
        <v>11</v>
      </c>
      <c r="X1" s="4" t="s">
        <v>10</v>
      </c>
      <c r="Y1" s="4" t="s">
        <v>71</v>
      </c>
      <c r="Z1" s="4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6" t="s">
        <v>21</v>
      </c>
      <c r="AF1" s="6" t="s">
        <v>77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84</v>
      </c>
      <c r="AL1" s="4" t="s">
        <v>85</v>
      </c>
      <c r="AM1" s="4" t="s">
        <v>86</v>
      </c>
      <c r="AN1" s="4" t="s">
        <v>87</v>
      </c>
      <c r="AO1" s="4" t="s">
        <v>88</v>
      </c>
      <c r="AP1" s="4" t="s">
        <v>89</v>
      </c>
      <c r="AQ1" s="4" t="s">
        <v>90</v>
      </c>
      <c r="AR1" s="4" t="s">
        <v>91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51</v>
      </c>
      <c r="BC1" s="4" t="s">
        <v>50</v>
      </c>
      <c r="BD1" s="4" t="s">
        <v>106</v>
      </c>
    </row>
    <row r="2" spans="1:56" x14ac:dyDescent="0.3">
      <c r="A2" s="1">
        <f>B2+C2</f>
        <v>2</v>
      </c>
      <c r="B2" s="1">
        <f>SUM(Sheet2!K:K)</f>
        <v>1</v>
      </c>
      <c r="C2" s="1">
        <f>SUM(Sheet2!L:L)</f>
        <v>1</v>
      </c>
      <c r="D2" s="1">
        <f>SUM(Sheet2!W:W)</f>
        <v>4</v>
      </c>
      <c r="E2" s="1">
        <f>F2+G2+H2</f>
        <v>8</v>
      </c>
      <c r="F2" s="1">
        <f>SUM(Sheet2!E:E) + SUM(Sheet2!H:H)</f>
        <v>4</v>
      </c>
      <c r="G2" s="1">
        <f>SUM(Sheet2!F:F) + SUM(Sheet2!I:I)</f>
        <v>2</v>
      </c>
      <c r="H2" s="1">
        <f>SUM(Sheet2!G:G) + SUM(Sheet2!J:J)</f>
        <v>2</v>
      </c>
      <c r="I2" s="1">
        <f>SUM(Sheet2!E:E) + SUM(Sheet2!F:F) + SUM(Sheet2!G:G)</f>
        <v>5</v>
      </c>
      <c r="J2" s="1">
        <f>SUM(Sheet2!H:H) + SUM(Sheet2!I:I) + SUM(Sheet2!J:J)</f>
        <v>3</v>
      </c>
      <c r="K2" s="1">
        <v>5</v>
      </c>
      <c r="L2" s="1">
        <v>2</v>
      </c>
      <c r="M2" s="1">
        <v>1</v>
      </c>
      <c r="N2" s="1">
        <v>5</v>
      </c>
      <c r="O2" s="1">
        <v>2</v>
      </c>
      <c r="P2" s="1">
        <v>1</v>
      </c>
      <c r="Q2" s="1">
        <v>4</v>
      </c>
      <c r="R2" s="1">
        <v>1</v>
      </c>
      <c r="S2" s="1">
        <v>0</v>
      </c>
      <c r="T2" s="1">
        <v>3</v>
      </c>
      <c r="U2" s="1">
        <v>1</v>
      </c>
      <c r="V2" s="1">
        <v>1</v>
      </c>
      <c r="W2" s="1">
        <f>SUM(Sheet2!AR:AR)</f>
        <v>3</v>
      </c>
      <c r="X2" s="1">
        <f>SUM(Sheet2!AS:AS)</f>
        <v>2</v>
      </c>
      <c r="Y2" s="1">
        <f>SUM(Sheet2!Z:Z)</f>
        <v>7</v>
      </c>
      <c r="Z2" s="1">
        <f>SUM(Sheet2!AA:AA)</f>
        <v>3</v>
      </c>
      <c r="AA2" s="2">
        <f>Z2/Y2</f>
        <v>0.42857142857142855</v>
      </c>
      <c r="AB2" s="1">
        <f>SUM(Sheet2!AB:AB)</f>
        <v>8</v>
      </c>
      <c r="AC2" s="1">
        <f>SUM(Sheet2!AC:AC)</f>
        <v>6</v>
      </c>
      <c r="AD2" s="2">
        <f>AC2/AB2</f>
        <v>0.75</v>
      </c>
      <c r="AE2" s="1">
        <f>SUM(Sheet2!AD:AD)</f>
        <v>7</v>
      </c>
      <c r="AF2" s="1">
        <f>SUM(Sheet2!AE:AE)</f>
        <v>4</v>
      </c>
      <c r="AG2" s="2">
        <f>AF2/AE2</f>
        <v>0.5714285714285714</v>
      </c>
      <c r="AH2" s="1">
        <f>SUM(Sheet2!X:X)</f>
        <v>5</v>
      </c>
      <c r="AI2" s="1">
        <f>SUM(Sheet2!Y:Y)</f>
        <v>4</v>
      </c>
      <c r="AJ2" s="2">
        <f>AI2/AH2</f>
        <v>0.8</v>
      </c>
      <c r="AK2" s="1">
        <f>SUM(Sheet2!AJ:AJ)</f>
        <v>1</v>
      </c>
      <c r="AL2" s="1">
        <f>SUM(Sheet2!AK:AK)</f>
        <v>1</v>
      </c>
      <c r="AM2" s="1">
        <f>SUM(Sheet2!AL:AL)</f>
        <v>1</v>
      </c>
      <c r="AN2" s="1">
        <f>SUM(Sheet2!AM:AM)</f>
        <v>1</v>
      </c>
      <c r="AO2" s="1">
        <f>SUM(Sheet2!AN:AN)</f>
        <v>3</v>
      </c>
      <c r="AP2" s="1">
        <f>SUM(Sheet2!AO:AO)</f>
        <v>1</v>
      </c>
      <c r="AQ2" s="1">
        <f>SUM(Sheet2!AP:AP)</f>
        <v>2</v>
      </c>
      <c r="AR2" s="1">
        <f>SUM(Sheet2!AQ:AQ)</f>
        <v>1</v>
      </c>
      <c r="AS2" s="1" t="s">
        <v>130</v>
      </c>
      <c r="AT2" s="1" t="s">
        <v>52</v>
      </c>
      <c r="AU2" s="1">
        <v>2</v>
      </c>
      <c r="AV2" s="1">
        <v>1</v>
      </c>
      <c r="AW2" s="1">
        <f>SUM(Sheet2!AY:AY)</f>
        <v>1</v>
      </c>
      <c r="AX2" s="1">
        <f>SUM(Sheet2!AZ:AZ)</f>
        <v>1</v>
      </c>
      <c r="AY2" s="1" t="s">
        <v>131</v>
      </c>
      <c r="AZ2" s="1">
        <v>2</v>
      </c>
      <c r="BA2" t="s">
        <v>132</v>
      </c>
      <c r="BB2" t="s">
        <v>133</v>
      </c>
      <c r="BC2">
        <v>1</v>
      </c>
      <c r="BD2" s="7">
        <v>46292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AG1" activePane="topRight" state="frozen"/>
      <selection pane="topRight" activeCell="BF1" sqref="BF1:BF2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54</v>
      </c>
      <c r="L1" s="4" t="s">
        <v>17</v>
      </c>
      <c r="M1" s="4" t="s">
        <v>55</v>
      </c>
      <c r="N1" s="4" t="s">
        <v>15</v>
      </c>
      <c r="O1" s="4" t="s">
        <v>122</v>
      </c>
      <c r="P1" s="4" t="s">
        <v>123</v>
      </c>
      <c r="Q1" s="4" t="s">
        <v>124</v>
      </c>
      <c r="R1" s="4" t="s">
        <v>128</v>
      </c>
      <c r="S1" s="4" t="s">
        <v>125</v>
      </c>
      <c r="T1" s="4" t="s">
        <v>129</v>
      </c>
      <c r="U1" s="4" t="s">
        <v>126</v>
      </c>
      <c r="V1" s="4" t="s">
        <v>127</v>
      </c>
      <c r="W1" s="4" t="s">
        <v>16</v>
      </c>
      <c r="X1" s="4" t="s">
        <v>32</v>
      </c>
      <c r="Y1" s="4" t="s">
        <v>33</v>
      </c>
      <c r="Z1" s="4" t="s">
        <v>56</v>
      </c>
      <c r="AA1" s="4" t="s">
        <v>57</v>
      </c>
      <c r="AB1" s="4" t="s">
        <v>58</v>
      </c>
      <c r="AC1" s="4" t="s">
        <v>59</v>
      </c>
      <c r="AD1" s="4" t="s">
        <v>34</v>
      </c>
      <c r="AE1" s="4" t="s">
        <v>35</v>
      </c>
      <c r="AF1" s="4" t="s">
        <v>108</v>
      </c>
      <c r="AG1" s="4" t="s">
        <v>109</v>
      </c>
      <c r="AH1" s="4" t="s">
        <v>18</v>
      </c>
      <c r="AI1" s="4" t="s">
        <v>19</v>
      </c>
      <c r="AJ1" s="4" t="s">
        <v>60</v>
      </c>
      <c r="AK1" s="4" t="s">
        <v>61</v>
      </c>
      <c r="AL1" s="4" t="s">
        <v>62</v>
      </c>
      <c r="AM1" s="4" t="s">
        <v>63</v>
      </c>
      <c r="AN1" s="4" t="s">
        <v>64</v>
      </c>
      <c r="AO1" s="4" t="s">
        <v>65</v>
      </c>
      <c r="AP1" s="4" t="s">
        <v>66</v>
      </c>
      <c r="AQ1" s="4" t="s">
        <v>67</v>
      </c>
      <c r="AR1" s="4" t="s">
        <v>14</v>
      </c>
      <c r="AS1" s="4" t="s">
        <v>116</v>
      </c>
      <c r="AT1" s="4" t="s">
        <v>114</v>
      </c>
      <c r="AU1" s="4" t="s">
        <v>115</v>
      </c>
      <c r="AV1" s="4" t="s">
        <v>117</v>
      </c>
      <c r="AW1" s="4" t="s">
        <v>118</v>
      </c>
      <c r="AX1" s="4" t="s">
        <v>119</v>
      </c>
      <c r="AY1" s="4" t="s">
        <v>36</v>
      </c>
      <c r="AZ1" s="4" t="s">
        <v>37</v>
      </c>
      <c r="BA1" s="4" t="s">
        <v>120</v>
      </c>
      <c r="BB1" s="4" t="s">
        <v>121</v>
      </c>
      <c r="BC1" s="4" t="s">
        <v>68</v>
      </c>
      <c r="BD1" s="4" t="s">
        <v>20</v>
      </c>
      <c r="BE1" s="4" t="s">
        <v>79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50</v>
      </c>
    </row>
    <row r="2" spans="1:62" x14ac:dyDescent="0.3">
      <c r="A2" s="3" t="s">
        <v>104</v>
      </c>
      <c r="B2" s="3" t="s">
        <v>45</v>
      </c>
      <c r="C2" s="3">
        <v>95</v>
      </c>
      <c r="D2" s="3"/>
      <c r="E2" s="3"/>
      <c r="F2" s="3"/>
      <c r="G2" s="3"/>
      <c r="H2" s="3"/>
      <c r="I2" s="3"/>
      <c r="J2" s="3"/>
      <c r="K2" s="3"/>
      <c r="L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>
        <v>1</v>
      </c>
      <c r="AY2" s="3"/>
      <c r="AZ2" s="3"/>
      <c r="BA2" s="3">
        <v>4</v>
      </c>
      <c r="BB2" s="3">
        <v>1</v>
      </c>
      <c r="BC2" s="3">
        <v>2</v>
      </c>
      <c r="BD2" s="3">
        <v>1</v>
      </c>
      <c r="BE2" s="3" t="s">
        <v>80</v>
      </c>
      <c r="BF2" t="s">
        <v>130</v>
      </c>
      <c r="BG2" t="s">
        <v>52</v>
      </c>
      <c r="BH2" s="3" t="s">
        <v>131</v>
      </c>
      <c r="BI2" s="1">
        <v>1</v>
      </c>
      <c r="BJ2">
        <v>1</v>
      </c>
    </row>
    <row r="3" spans="1:62" x14ac:dyDescent="0.3">
      <c r="A3" s="3" t="s">
        <v>134</v>
      </c>
      <c r="B3" s="3" t="s">
        <v>100</v>
      </c>
      <c r="C3" s="3">
        <v>95</v>
      </c>
      <c r="D3" s="3"/>
      <c r="E3" s="3"/>
      <c r="F3" s="3"/>
      <c r="G3" s="3"/>
      <c r="H3" s="3"/>
      <c r="I3" s="3"/>
      <c r="J3" s="3"/>
      <c r="M3" s="3"/>
      <c r="N3" s="3"/>
      <c r="O3" s="3"/>
      <c r="P3" s="3"/>
      <c r="Q3" s="3"/>
      <c r="R3" s="3"/>
      <c r="S3" s="3"/>
      <c r="T3" s="3"/>
      <c r="U3">
        <v>2</v>
      </c>
      <c r="V3">
        <v>1</v>
      </c>
      <c r="W3" s="3"/>
      <c r="X3" s="3"/>
      <c r="Y3" s="3"/>
      <c r="Z3" s="3"/>
      <c r="AA3" s="3"/>
      <c r="AB3" s="3"/>
      <c r="AC3" s="3"/>
      <c r="AD3" s="3">
        <v>1</v>
      </c>
      <c r="AE3" s="3">
        <v>1</v>
      </c>
      <c r="AF3" s="3"/>
      <c r="AG3" s="3">
        <v>1</v>
      </c>
      <c r="AH3" s="3"/>
      <c r="AI3" s="3">
        <v>1</v>
      </c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80</v>
      </c>
      <c r="BF3" t="s">
        <v>130</v>
      </c>
      <c r="BG3" t="s">
        <v>52</v>
      </c>
      <c r="BH3" s="3" t="s">
        <v>131</v>
      </c>
      <c r="BI3" s="1">
        <v>1</v>
      </c>
      <c r="BJ3">
        <v>1</v>
      </c>
    </row>
    <row r="4" spans="1:62" x14ac:dyDescent="0.3">
      <c r="A4" s="3" t="s">
        <v>43</v>
      </c>
      <c r="B4" s="3" t="s">
        <v>46</v>
      </c>
      <c r="C4" s="3">
        <v>95</v>
      </c>
      <c r="D4" s="3"/>
      <c r="E4" s="3"/>
      <c r="F4" s="3"/>
      <c r="G4" s="3">
        <v>1</v>
      </c>
      <c r="H4" s="3"/>
      <c r="I4" s="3"/>
      <c r="J4" s="3"/>
      <c r="K4" s="3"/>
      <c r="L4" s="3"/>
      <c r="M4" s="3"/>
      <c r="N4" s="3"/>
      <c r="O4">
        <v>4</v>
      </c>
      <c r="P4" s="3"/>
      <c r="Q4">
        <v>2</v>
      </c>
      <c r="R4" s="3"/>
      <c r="S4">
        <v>2</v>
      </c>
      <c r="T4">
        <v>1</v>
      </c>
      <c r="U4" s="3"/>
      <c r="V4" s="3"/>
      <c r="W4" s="3"/>
      <c r="X4" s="3">
        <v>2</v>
      </c>
      <c r="Y4" s="3">
        <v>2</v>
      </c>
      <c r="Z4" s="3"/>
      <c r="AA4" s="3"/>
      <c r="AB4" s="3">
        <v>1</v>
      </c>
      <c r="AC4" s="3"/>
      <c r="AD4" s="3">
        <v>2</v>
      </c>
      <c r="AE4" s="3">
        <v>1</v>
      </c>
      <c r="AF4" s="3">
        <v>2</v>
      </c>
      <c r="AG4" s="3">
        <v>1</v>
      </c>
      <c r="AH4" s="3">
        <v>1</v>
      </c>
      <c r="AI4" s="3">
        <v>1</v>
      </c>
      <c r="AJ4" s="3">
        <v>1</v>
      </c>
      <c r="AK4" s="3">
        <v>1</v>
      </c>
      <c r="AL4" s="3"/>
      <c r="AM4" s="3"/>
      <c r="AN4" s="3"/>
      <c r="AO4" s="3"/>
      <c r="AP4" s="3"/>
      <c r="AQ4" s="3"/>
      <c r="AR4" s="3"/>
      <c r="AS4" s="3"/>
      <c r="AT4" s="3"/>
      <c r="AU4" s="3">
        <v>1</v>
      </c>
      <c r="AV4" s="3"/>
      <c r="AW4" s="3"/>
      <c r="AX4" s="3"/>
      <c r="AY4" s="3"/>
      <c r="AZ4" s="3"/>
      <c r="BA4" s="3"/>
      <c r="BB4" s="3"/>
      <c r="BC4" s="3"/>
      <c r="BD4" s="3">
        <v>1</v>
      </c>
      <c r="BE4" s="3" t="s">
        <v>80</v>
      </c>
      <c r="BF4" t="s">
        <v>130</v>
      </c>
      <c r="BG4" t="s">
        <v>52</v>
      </c>
      <c r="BH4" s="3" t="s">
        <v>131</v>
      </c>
      <c r="BI4" s="1">
        <v>1</v>
      </c>
      <c r="BJ4">
        <v>1</v>
      </c>
    </row>
    <row r="5" spans="1:62" x14ac:dyDescent="0.3">
      <c r="A5" s="3" t="s">
        <v>44</v>
      </c>
      <c r="B5" s="3" t="s">
        <v>46</v>
      </c>
      <c r="C5" s="3">
        <v>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>
        <v>4</v>
      </c>
      <c r="Q5">
        <v>2</v>
      </c>
      <c r="R5">
        <v>2</v>
      </c>
      <c r="S5">
        <v>2</v>
      </c>
      <c r="T5">
        <v>1</v>
      </c>
      <c r="U5" s="3"/>
      <c r="V5" s="3"/>
      <c r="W5" s="3"/>
      <c r="X5" s="3">
        <v>1</v>
      </c>
      <c r="Y5" s="3"/>
      <c r="Z5" s="3"/>
      <c r="AA5" s="3"/>
      <c r="AB5" s="3"/>
      <c r="AC5" s="3"/>
      <c r="AD5" s="3">
        <v>1</v>
      </c>
      <c r="AE5" s="3">
        <v>1</v>
      </c>
      <c r="AF5" s="3">
        <v>1</v>
      </c>
      <c r="AG5" s="3"/>
      <c r="AH5" s="3">
        <v>1</v>
      </c>
      <c r="AI5" s="3">
        <v>1</v>
      </c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>
        <v>1</v>
      </c>
      <c r="BA5" s="3"/>
      <c r="BB5" s="3"/>
      <c r="BC5" s="3"/>
      <c r="BD5" s="3">
        <v>1</v>
      </c>
      <c r="BE5" s="3" t="s">
        <v>80</v>
      </c>
      <c r="BF5" t="s">
        <v>130</v>
      </c>
      <c r="BG5" t="s">
        <v>52</v>
      </c>
      <c r="BH5" s="3" t="s">
        <v>131</v>
      </c>
      <c r="BI5" s="1">
        <v>1</v>
      </c>
      <c r="BJ5">
        <v>1</v>
      </c>
    </row>
    <row r="6" spans="1:62" x14ac:dyDescent="0.3">
      <c r="A6" s="3" t="s">
        <v>135</v>
      </c>
      <c r="B6" s="3" t="s">
        <v>101</v>
      </c>
      <c r="C6" s="3">
        <v>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>
        <v>1</v>
      </c>
      <c r="Y6" s="3">
        <v>1</v>
      </c>
      <c r="Z6" s="3"/>
      <c r="AA6" s="3"/>
      <c r="AB6" s="3">
        <v>1</v>
      </c>
      <c r="AC6" s="3">
        <v>1</v>
      </c>
      <c r="AD6" s="3"/>
      <c r="AE6" s="3"/>
      <c r="AF6" s="3"/>
      <c r="AG6" s="3">
        <v>1</v>
      </c>
      <c r="AH6" s="3">
        <v>1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80</v>
      </c>
      <c r="BF6" t="s">
        <v>130</v>
      </c>
      <c r="BG6" t="s">
        <v>52</v>
      </c>
      <c r="BH6" s="3" t="s">
        <v>131</v>
      </c>
      <c r="BI6" s="1">
        <v>1</v>
      </c>
      <c r="BJ6">
        <v>1</v>
      </c>
    </row>
    <row r="7" spans="1:62" x14ac:dyDescent="0.3">
      <c r="A7" s="3" t="s">
        <v>136</v>
      </c>
      <c r="B7" s="3" t="s">
        <v>47</v>
      </c>
      <c r="C7" s="3">
        <v>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>
        <v>1</v>
      </c>
      <c r="Q7">
        <v>1</v>
      </c>
      <c r="R7">
        <v>1</v>
      </c>
      <c r="S7" s="3"/>
      <c r="T7" s="3"/>
      <c r="U7" s="3"/>
      <c r="V7" s="3"/>
      <c r="W7" s="3"/>
      <c r="X7" s="3"/>
      <c r="Y7" s="3"/>
      <c r="Z7" s="3">
        <v>1</v>
      </c>
      <c r="AA7" s="3"/>
      <c r="AB7" s="3">
        <v>3</v>
      </c>
      <c r="AC7" s="3">
        <v>2</v>
      </c>
      <c r="AD7" s="3"/>
      <c r="AE7" s="3"/>
      <c r="AF7" s="3"/>
      <c r="AG7" s="3"/>
      <c r="AH7" s="3"/>
      <c r="AI7" s="3"/>
      <c r="AJ7" s="3"/>
      <c r="AK7" s="3"/>
      <c r="AL7" s="3">
        <v>1</v>
      </c>
      <c r="AM7" s="3"/>
      <c r="AN7" s="3">
        <v>1</v>
      </c>
      <c r="AO7" s="3">
        <v>1</v>
      </c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>
        <v>0</v>
      </c>
      <c r="BE7" s="3" t="s">
        <v>80</v>
      </c>
      <c r="BF7" t="s">
        <v>130</v>
      </c>
      <c r="BG7" t="s">
        <v>52</v>
      </c>
      <c r="BH7" s="3" t="s">
        <v>131</v>
      </c>
      <c r="BI7" s="1">
        <v>1</v>
      </c>
      <c r="BJ7">
        <v>1</v>
      </c>
    </row>
    <row r="8" spans="1:62" x14ac:dyDescent="0.3">
      <c r="A8" s="3" t="s">
        <v>137</v>
      </c>
      <c r="B8" s="3" t="s">
        <v>47</v>
      </c>
      <c r="C8" s="3">
        <v>95</v>
      </c>
      <c r="D8" s="3"/>
      <c r="E8" s="3"/>
      <c r="F8" s="3"/>
      <c r="G8" s="3"/>
      <c r="H8" s="3"/>
      <c r="I8" s="3"/>
      <c r="J8" s="3">
        <v>1</v>
      </c>
      <c r="K8" s="3"/>
      <c r="L8" s="3"/>
      <c r="M8" s="3"/>
      <c r="N8" s="3"/>
      <c r="O8">
        <v>1</v>
      </c>
      <c r="P8" s="3"/>
      <c r="Q8">
        <v>1</v>
      </c>
      <c r="R8" s="3"/>
      <c r="S8" s="3"/>
      <c r="T8" s="3"/>
      <c r="U8" s="3"/>
      <c r="V8" s="3"/>
      <c r="W8" s="3"/>
      <c r="X8" s="3"/>
      <c r="Y8" s="3"/>
      <c r="Z8" s="3"/>
      <c r="AA8" s="3"/>
      <c r="AB8" s="3">
        <v>2</v>
      </c>
      <c r="AC8" s="3">
        <v>2</v>
      </c>
      <c r="AD8" s="3"/>
      <c r="AE8" s="3"/>
      <c r="AF8" s="3"/>
      <c r="AG8" s="3"/>
      <c r="AH8" s="3"/>
      <c r="AI8" s="3"/>
      <c r="AJ8" s="3"/>
      <c r="AK8" s="3"/>
      <c r="AL8" s="3"/>
      <c r="AM8" s="3">
        <v>1</v>
      </c>
      <c r="AN8" s="3"/>
      <c r="AO8" s="3"/>
      <c r="AP8" s="3"/>
      <c r="AQ8" s="3"/>
      <c r="AR8" s="3">
        <v>1</v>
      </c>
      <c r="AS8" s="3"/>
      <c r="AT8" s="3"/>
      <c r="AU8" s="3"/>
      <c r="AV8" s="3"/>
      <c r="AW8" s="3"/>
      <c r="AX8" s="3"/>
      <c r="AY8" s="3">
        <v>1</v>
      </c>
      <c r="AZ8" s="3"/>
      <c r="BA8" s="3"/>
      <c r="BB8" s="3"/>
      <c r="BC8" s="3"/>
      <c r="BD8" s="3">
        <v>1</v>
      </c>
      <c r="BE8" s="3" t="s">
        <v>80</v>
      </c>
      <c r="BF8" t="s">
        <v>130</v>
      </c>
      <c r="BG8" t="s">
        <v>52</v>
      </c>
      <c r="BH8" s="3" t="s">
        <v>131</v>
      </c>
      <c r="BI8" s="1">
        <v>1</v>
      </c>
      <c r="BJ8">
        <v>1</v>
      </c>
    </row>
    <row r="9" spans="1:62" x14ac:dyDescent="0.3">
      <c r="A9" s="3" t="s">
        <v>53</v>
      </c>
      <c r="B9" s="3" t="s">
        <v>48</v>
      </c>
      <c r="C9" s="3">
        <v>95</v>
      </c>
      <c r="D9" s="3"/>
      <c r="E9" s="3"/>
      <c r="F9" s="3">
        <v>1</v>
      </c>
      <c r="G9" s="3"/>
      <c r="H9" s="3"/>
      <c r="I9" s="3"/>
      <c r="J9" s="3"/>
      <c r="K9" s="3"/>
      <c r="L9" s="3"/>
      <c r="M9" s="3"/>
      <c r="N9">
        <v>1</v>
      </c>
      <c r="O9">
        <v>2</v>
      </c>
      <c r="P9" s="3"/>
      <c r="Q9">
        <v>2</v>
      </c>
      <c r="R9" s="3"/>
      <c r="S9">
        <v>1</v>
      </c>
      <c r="T9">
        <v>1</v>
      </c>
      <c r="U9" s="3"/>
      <c r="V9" s="3"/>
      <c r="W9" s="3">
        <v>2</v>
      </c>
      <c r="X9" s="3"/>
      <c r="Y9" s="3"/>
      <c r="Z9" s="3">
        <v>1</v>
      </c>
      <c r="AA9" s="3">
        <v>1</v>
      </c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>
        <v>1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80</v>
      </c>
      <c r="BF9" t="s">
        <v>130</v>
      </c>
      <c r="BG9" t="s">
        <v>52</v>
      </c>
      <c r="BH9" s="3" t="s">
        <v>131</v>
      </c>
      <c r="BI9" s="1">
        <v>1</v>
      </c>
      <c r="BJ9">
        <v>1</v>
      </c>
    </row>
    <row r="10" spans="1:62" x14ac:dyDescent="0.3">
      <c r="A10" s="3" t="s">
        <v>138</v>
      </c>
      <c r="B10" s="3" t="s">
        <v>102</v>
      </c>
      <c r="C10" s="3">
        <v>95</v>
      </c>
      <c r="D10" s="3"/>
      <c r="E10" s="3">
        <v>1</v>
      </c>
      <c r="F10" s="3"/>
      <c r="G10" s="3"/>
      <c r="H10" s="3">
        <v>1</v>
      </c>
      <c r="I10" s="3"/>
      <c r="J10" s="3"/>
      <c r="K10" s="3"/>
      <c r="L10" s="3"/>
      <c r="M10">
        <v>1</v>
      </c>
      <c r="N10" s="3"/>
      <c r="O10" s="3"/>
      <c r="P10">
        <v>1</v>
      </c>
      <c r="Q10" s="3"/>
      <c r="R10" s="3"/>
      <c r="S10" s="3"/>
      <c r="T10" s="3"/>
      <c r="U10">
        <v>1</v>
      </c>
      <c r="V10" s="3"/>
      <c r="W10" s="3">
        <v>1</v>
      </c>
      <c r="X10" s="3"/>
      <c r="Y10" s="3"/>
      <c r="Z10" s="3">
        <v>1</v>
      </c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>
        <v>1</v>
      </c>
      <c r="AQ10" s="3">
        <v>1</v>
      </c>
      <c r="AR10" s="3"/>
      <c r="AS10" s="3">
        <v>1</v>
      </c>
      <c r="AT10" s="3">
        <v>1</v>
      </c>
      <c r="AU10" s="3"/>
      <c r="AV10" s="3">
        <v>1</v>
      </c>
      <c r="AW10" s="3"/>
      <c r="AX10" s="3"/>
      <c r="AY10" s="3"/>
      <c r="AZ10" s="3"/>
      <c r="BA10" s="3"/>
      <c r="BB10" s="3"/>
      <c r="BC10" s="3"/>
      <c r="BD10" s="3">
        <v>1</v>
      </c>
      <c r="BE10" s="3" t="s">
        <v>80</v>
      </c>
      <c r="BF10" t="s">
        <v>130</v>
      </c>
      <c r="BG10" t="s">
        <v>52</v>
      </c>
      <c r="BH10" s="3" t="s">
        <v>131</v>
      </c>
      <c r="BI10" s="1">
        <v>1</v>
      </c>
      <c r="BJ10">
        <v>1</v>
      </c>
    </row>
    <row r="11" spans="1:62" x14ac:dyDescent="0.3">
      <c r="A11" s="3" t="s">
        <v>103</v>
      </c>
      <c r="B11" s="3" t="s">
        <v>102</v>
      </c>
      <c r="C11" s="3">
        <v>95</v>
      </c>
      <c r="D11" s="3">
        <v>1</v>
      </c>
      <c r="E11" s="3">
        <v>1</v>
      </c>
      <c r="F11" s="3"/>
      <c r="G11" s="3"/>
      <c r="H11" s="3"/>
      <c r="I11" s="3">
        <v>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>
        <v>1</v>
      </c>
      <c r="V11">
        <v>1</v>
      </c>
      <c r="W11" s="3"/>
      <c r="X11" s="3"/>
      <c r="Y11" s="3"/>
      <c r="Z11" s="3">
        <v>1</v>
      </c>
      <c r="AA11" s="3">
        <v>1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80</v>
      </c>
      <c r="BF11" t="s">
        <v>130</v>
      </c>
      <c r="BG11" t="s">
        <v>52</v>
      </c>
      <c r="BH11" s="3" t="s">
        <v>131</v>
      </c>
      <c r="BI11" s="1">
        <v>1</v>
      </c>
      <c r="BJ11">
        <v>1</v>
      </c>
    </row>
    <row r="12" spans="1:62" x14ac:dyDescent="0.3">
      <c r="A12" s="3" t="s">
        <v>139</v>
      </c>
      <c r="B12" s="3" t="s">
        <v>49</v>
      </c>
      <c r="C12" s="3">
        <v>95</v>
      </c>
      <c r="D12" s="3">
        <v>1</v>
      </c>
      <c r="E12" s="3">
        <v>1</v>
      </c>
      <c r="F12" s="3"/>
      <c r="G12" s="3"/>
      <c r="H12" s="3"/>
      <c r="I12" s="3"/>
      <c r="J12" s="3"/>
      <c r="K12" s="3">
        <v>1</v>
      </c>
      <c r="L12" s="3">
        <v>1</v>
      </c>
      <c r="M12" s="3"/>
      <c r="N12" s="3"/>
      <c r="O12" s="3"/>
      <c r="P12">
        <v>1</v>
      </c>
      <c r="Q12" s="3"/>
      <c r="R12" s="3"/>
      <c r="S12">
        <v>1</v>
      </c>
      <c r="T12" s="3"/>
      <c r="U12" s="3"/>
      <c r="V12" s="3"/>
      <c r="W12" s="3"/>
      <c r="X12" s="3"/>
      <c r="Y12" s="3"/>
      <c r="Z12" s="3">
        <v>2</v>
      </c>
      <c r="AA12" s="3">
        <v>1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v>1</v>
      </c>
      <c r="AX12" s="3"/>
      <c r="AY12" s="3"/>
      <c r="AZ12" s="3"/>
      <c r="BA12" s="3"/>
      <c r="BB12" s="3"/>
      <c r="BC12" s="3"/>
      <c r="BD12" s="3">
        <v>1</v>
      </c>
      <c r="BE12" s="3" t="s">
        <v>80</v>
      </c>
      <c r="BF12" t="s">
        <v>130</v>
      </c>
      <c r="BG12" t="s">
        <v>52</v>
      </c>
      <c r="BH12" s="3" t="s">
        <v>131</v>
      </c>
      <c r="BI12" s="1">
        <v>1</v>
      </c>
      <c r="BJ12">
        <v>1</v>
      </c>
    </row>
    <row r="13" spans="1:62" x14ac:dyDescent="0.3">
      <c r="A13" s="3" t="s">
        <v>140</v>
      </c>
      <c r="B13" s="3" t="s">
        <v>47</v>
      </c>
      <c r="C13" s="3">
        <v>35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>
        <v>1</v>
      </c>
      <c r="X13" s="3">
        <v>1</v>
      </c>
      <c r="Y13" s="3">
        <v>1</v>
      </c>
      <c r="Z13" s="3">
        <v>1</v>
      </c>
      <c r="AC13" s="3"/>
      <c r="AD13" s="3">
        <v>1</v>
      </c>
      <c r="AE13" s="3"/>
      <c r="AF13" s="3"/>
      <c r="AG13" s="3">
        <v>1</v>
      </c>
      <c r="AH13" s="3"/>
      <c r="AI13" s="3"/>
      <c r="AJ13" s="3"/>
      <c r="AK13" s="3"/>
      <c r="AL13" s="3"/>
      <c r="AM13" s="3"/>
      <c r="AN13" s="3">
        <v>1</v>
      </c>
      <c r="AO13" s="3"/>
      <c r="AP13" s="3">
        <v>1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1</v>
      </c>
      <c r="BE13" s="3" t="s">
        <v>107</v>
      </c>
      <c r="BF13" t="s">
        <v>130</v>
      </c>
      <c r="BG13" t="s">
        <v>52</v>
      </c>
      <c r="BH13" s="3" t="s">
        <v>131</v>
      </c>
      <c r="BI13" s="1">
        <v>1</v>
      </c>
      <c r="BJ13">
        <v>1</v>
      </c>
    </row>
    <row r="14" spans="1:62" x14ac:dyDescent="0.3">
      <c r="A14" s="3" t="s">
        <v>105</v>
      </c>
      <c r="B14" s="3" t="s">
        <v>101</v>
      </c>
      <c r="C14" s="3">
        <v>30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1</v>
      </c>
      <c r="U14" s="3"/>
      <c r="V14" s="3"/>
      <c r="W14" s="3"/>
      <c r="X14" s="3"/>
      <c r="Y14" s="3"/>
      <c r="Z14" s="3"/>
      <c r="AA14" s="3"/>
      <c r="AB14" s="3">
        <v>1</v>
      </c>
      <c r="AC14" s="3">
        <v>1</v>
      </c>
      <c r="AD14" s="3">
        <v>2</v>
      </c>
      <c r="AE14" s="3">
        <v>1</v>
      </c>
      <c r="AF14" s="3"/>
      <c r="AG14" s="3">
        <v>1</v>
      </c>
      <c r="AH14" s="3"/>
      <c r="AI14" s="3"/>
      <c r="AJ14" s="3"/>
      <c r="AK14" s="3"/>
      <c r="AL14" s="3"/>
      <c r="AM14" s="3"/>
      <c r="AN14" s="3">
        <v>1</v>
      </c>
      <c r="AO14" s="3"/>
      <c r="AP14" s="3"/>
      <c r="AQ14" s="3"/>
      <c r="AR14" s="3">
        <v>1</v>
      </c>
      <c r="AS14" s="3">
        <v>1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107</v>
      </c>
      <c r="BF14" t="s">
        <v>130</v>
      </c>
      <c r="BG14" t="s">
        <v>52</v>
      </c>
      <c r="BH14" s="3" t="s">
        <v>131</v>
      </c>
      <c r="BI14" s="1">
        <v>1</v>
      </c>
      <c r="BJ14">
        <v>1</v>
      </c>
    </row>
    <row r="15" spans="1:62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6" spans="1:62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57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9A1EC-58CC-49A5-8CEF-3C5A5FC114C8}">
  <dimension ref="A1:I2"/>
  <sheetViews>
    <sheetView workbookViewId="0">
      <selection activeCell="I2" sqref="I2"/>
    </sheetView>
  </sheetViews>
  <sheetFormatPr defaultRowHeight="14.4" x14ac:dyDescent="0.3"/>
  <cols>
    <col min="1" max="1" width="10.21875" bestFit="1" customWidth="1"/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</cols>
  <sheetData>
    <row r="1" spans="1:9" x14ac:dyDescent="0.3">
      <c r="A1" s="4" t="s">
        <v>26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50</v>
      </c>
    </row>
    <row r="2" spans="1:9" x14ac:dyDescent="0.3">
      <c r="A2" t="s">
        <v>130</v>
      </c>
      <c r="B2">
        <v>10</v>
      </c>
      <c r="C2">
        <v>4</v>
      </c>
      <c r="D2">
        <v>5</v>
      </c>
      <c r="E2">
        <v>1</v>
      </c>
      <c r="F2">
        <v>6</v>
      </c>
      <c r="G2">
        <v>4</v>
      </c>
      <c r="H2">
        <v>2</v>
      </c>
      <c r="I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2026-09-07T13:18:52Z</dcterms:modified>
  <cp:category/>
  <cp:contentStatus/>
</cp:coreProperties>
</file>