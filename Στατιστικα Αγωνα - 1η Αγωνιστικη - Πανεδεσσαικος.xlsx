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76" documentId="8_{BB149310-9C70-4F0D-AF38-12983800A995}" xr6:coauthVersionLast="47" xr6:coauthVersionMax="47" xr10:uidLastSave="{593AD6EC-74F4-48F8-BDFF-5AE97965E945}"/>
  <bookViews>
    <workbookView xWindow="-108" yWindow="-108" windowWidth="23256" windowHeight="13896" activeTab="3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<sst xmlns="http://schemas.openxmlformats.org/spreadsheetml/2006/main" count="248" uniqueCount="158">
  <si>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</si>
  <si>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</si>
  <si>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</si>
  <si>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</si>
  <si>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</si>
  <si>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</si>
  <si>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</si>
  <si>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</si>
  <si>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</si>
  <si>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</si>
  <si>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</si>
  <si>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</si>
  <si>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</si>
  <si>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</si>
  <si>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</si>
  <si>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</si>
  <si>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</si>
  <si>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</si>
  <si>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</si>
  <si>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</si>
  <si>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</si>
  <si>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</si>
  <si>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</si>
  <si>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</si>
  <si>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</si>
  <si>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</si>
  <si>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</si>
  <si>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</si>
  <si>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</si>
  <si>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</si>
  <si>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</si>
  <si>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</si>
  <si>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</si>
  <si>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</si>
  <si>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</si>
  <si>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</si>
  <si>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</si>
  <si>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</si>
  <si>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</si>
  <si>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</si>
  <si>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</si>
  <si>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</si>
  <si>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</si>
  <si>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</si>
  <si>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</si>
  <si>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</si>
  <si>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</si>
  <si>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</si>
  <si>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</si>
  <si>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</si>
  <si>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</si>
  <si>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</si>
  <si>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</si>
  <si>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</si>
  <si>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</si>
  <si>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</si>
  <si>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</si>
  <si>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</si>
  <si>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</si>
  <si>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</si>
  <si>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</si>
  <si>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</si>
  <si>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</si>
  <si>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</si>
  <si>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</si>
  <si>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</si>
  <si>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</si>
  <si>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</si>
  <si>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</si>
  <si>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</si>
  <si>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</si>
  <si>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</si>
  <si>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</si>
  <si>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</si>
  <si>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</si>
  <si>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</si>
  <si>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</si>
  <si>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</si>
  <si>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</si>
  <si>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</si>
  <si>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</si>
  <si>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</si>
  <si>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</si>
  <si>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</si>
  <si>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</si>
  <si>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</si>
  <si>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</si>
  <si>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</si>
  <si>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</si>
  <si>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</si>
  <si>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</si>
  <si>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</si>
  <si>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</si>
  <si>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</si>
  <si>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</si>
  <si>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</si>
  <si>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</si>
  <si>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</si>
  <si>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</si>
  <si>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</si>
  <si>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</si>
  <si>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</si>
  <si>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</si>
  <si>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</si>
  <si>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</si>
  <si>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</si>
  <si>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</si>
  <si>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</si>
  <si>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</si>
  <si>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</si>
  <si>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</si>
  <si>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</si>
  <si>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</si>
  <si>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</si>
  <si>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</si>
  <si>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</si>
  <si>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</si>
  <si>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</si>
  <si>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</si>
  <si>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</si>
  <si>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</si>
  <si>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</si>
  <si>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</si>
  <si>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</si>
  <si>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</si>
  <si>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</si>
  <si>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</si>
  <si>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</si>
  <si>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ΔΑΝΙΔΗΣ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</si>
  <si>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</si>
  <si>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</si>
  <si>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</si>
  <si>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</si>
  <si>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</si>
  <si>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</si>
  <si>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</si>
  <si>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</si>
  <si>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</si>
  <si>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Πανεδεσσαικος</t>
  </si>
  <si>
    <t>Ισοπαλια</t>
  </si>
  <si>
    <t>Εκτος</t>
  </si>
  <si>
    <t>Χορτο</t>
  </si>
  <si>
    <t>ΚΑΚΑΤΑΤΣΙΟΣ</t>
  </si>
  <si>
    <t>ΚΑΛΠΑΚΙΔΗΣ</t>
  </si>
  <si>
    <t>ΔΗΜΗΤΡΙΑΔΗΣ</t>
  </si>
  <si>
    <t>ΜΑΝΩΛΗΣ</t>
  </si>
  <si>
    <t>ΑΜΠΕΡΙΑΔΗΣ</t>
  </si>
  <si>
    <t>ΤΣΙΜΠΙΡΗΣ</t>
  </si>
  <si>
    <t>ΠΑΠΑΔΟΠΟΥΛΟΣ Σ.</t>
  </si>
  <si>
    <t>ΘΕΟΔΟΣΙΑΔΗΣ</t>
  </si>
  <si>
    <t>ΔΑΡΑΗΣ</t>
  </si>
  <si>
    <t>ΚΥΡΑΝΑΣ</t>
  </si>
  <si>
    <t>Player</t>
  </si>
  <si>
    <t>Distance</t>
  </si>
  <si>
    <t>Max Speed</t>
  </si>
  <si>
    <t>Dist. Speed 20 → 25 (km/h)</t>
  </si>
  <si>
    <t>Team Average</t>
  </si>
  <si>
    <t>ΘΕΟΔΩΣΙΑΔΗΣ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</si>
</sst>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  <xf numFmtId="0" fontId="1" fillId="2" borderId="0" xfId="0" applyFont="1" applyFill="1" applyAlignment="1">
      <alignment horizontal="center"/>
    </xf>
    <xf numFmtId="1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A2" sqref="A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108</v>
      </c>
      <c r="N1" s="4" t="s">
        <v>80</v>
      </c>
      <c r="O1" s="4" t="s">
        <v>81</v>
      </c>
      <c r="P1" s="4" t="s">
        <v>109</v>
      </c>
      <c r="Q1" s="4" t="s">
        <v>91</v>
      </c>
      <c r="R1" s="4" t="s">
        <v>69</v>
      </c>
      <c r="S1" s="4" t="s">
        <v>110</v>
      </c>
      <c r="T1" s="4" t="s">
        <v>92</v>
      </c>
      <c r="U1" s="4" t="s">
        <v>82</v>
      </c>
      <c r="V1" s="4" t="s">
        <v>111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104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f>SUM(Sheet2!M:M)</f>
        <v>2</v>
      </c>
      <c r="E2" s="1">
        <f>F2+G2+H2</f>
        <v>11</v>
      </c>
      <c r="F2" s="1">
        <f>SUM(Sheet2!E:E) + SUM(Sheet2!H:H)</f>
        <v>7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4</v>
      </c>
      <c r="J2" s="1">
        <f>SUM(Sheet2!H:H) + SUM(Sheet2!I:I) + SUM(Sheet2!J:J)</f>
        <v>7</v>
      </c>
      <c r="K2" s="1">
        <v>6</v>
      </c>
      <c r="L2" s="1">
        <v>2</v>
      </c>
      <c r="M2" s="1">
        <v>0</v>
      </c>
      <c r="N2" s="1">
        <v>3</v>
      </c>
      <c r="O2" s="1">
        <v>0</v>
      </c>
      <c r="P2" s="1">
        <v>0</v>
      </c>
      <c r="Q2" s="1">
        <v>6</v>
      </c>
      <c r="R2" s="1">
        <v>0</v>
      </c>
      <c r="S2" s="1">
        <v>1</v>
      </c>
      <c r="T2" s="1">
        <v>2</v>
      </c>
      <c r="U2" s="1">
        <v>0</v>
      </c>
      <c r="V2" s="1">
        <v>0</v>
      </c>
      <c r="W2" s="1">
        <f>SUM(Sheet2!AR:AR)</f>
        <v>22</v>
      </c>
      <c r="X2" s="1">
        <f>SUM(Sheet2!AS:AS)</f>
        <v>11</v>
      </c>
      <c r="Y2" s="1">
        <f>SUM(Sheet2!Z:Z)</f>
        <v>39</v>
      </c>
      <c r="Z2" s="1">
        <f>SUM(Sheet2!AA:AA)</f>
        <v>16</v>
      </c>
      <c r="AA2" s="2">
        <f>Z2/Y2</f>
        <v>0.41025641025641024</v>
      </c>
      <c r="AB2" s="1">
        <f>SUM(Sheet2!AB:AB)</f>
        <v>33</v>
      </c>
      <c r="AC2" s="1">
        <f>SUM(Sheet2!AC:AC)</f>
        <v>21</v>
      </c>
      <c r="AD2" s="2">
        <f>AC2/AB2</f>
        <v>0.63636363636363635</v>
      </c>
      <c r="AE2" s="1">
        <f>SUM(Sheet2!AD:AD)</f>
        <v>48</v>
      </c>
      <c r="AF2" s="1">
        <f>SUM(Sheet2!AE:AE)</f>
        <v>25</v>
      </c>
      <c r="AG2" s="2">
        <f>AF2/AE2</f>
        <v>0.52083333333333337</v>
      </c>
      <c r="AH2" s="1">
        <f>SUM(Sheet2!X:X)</f>
        <v>33</v>
      </c>
      <c r="AI2" s="1">
        <f>SUM(Sheet2!Y:Y)</f>
        <v>9</v>
      </c>
      <c r="AJ2" s="2">
        <f>AI2/AH2</f>
        <v>0.27272727272727271</v>
      </c>
      <c r="AK2" s="1">
        <f>SUM(Sheet2!AJ:AJ)</f>
        <v>5</v>
      </c>
      <c r="AL2" s="1">
        <f>SUM(Sheet2!AK:AK)</f>
        <v>1</v>
      </c>
      <c r="AM2" s="1">
        <f>SUM(Sheet2!AL:AL)</f>
        <v>28</v>
      </c>
      <c r="AN2" s="1">
        <f>SUM(Sheet2!AM:AM)</f>
        <v>0</v>
      </c>
      <c r="AO2" s="1">
        <f>SUM(Sheet2!AN:AN)</f>
        <v>29</v>
      </c>
      <c r="AP2" s="1">
        <f>SUM(Sheet2!AO:AO)</f>
        <v>0</v>
      </c>
      <c r="AQ2" s="1">
        <f>SUM(Sheet2!AP:AP)</f>
        <v>12</v>
      </c>
      <c r="AR2" s="1">
        <f>SUM(Sheet2!AQ:AQ)</f>
        <v>0</v>
      </c>
      <c r="AS2" s="1" t="s">
        <v>138</v>
      </c>
      <c r="AT2" s="1" t="s">
        <v>51</v>
      </c>
      <c r="AU2" s="1">
        <v>1</v>
      </c>
      <c r="AV2" s="1">
        <v>1</v>
      </c>
      <c r="AW2" s="1">
        <f>SUM(Sheet2!AY:AY)</f>
        <v>3</v>
      </c>
      <c r="AX2" s="1">
        <f>SUM(Sheet2!AZ:AZ)</f>
        <v>1</v>
      </c>
      <c r="AY2" s="1" t="s">
        <v>139</v>
      </c>
      <c r="AZ2" s="1">
        <v>1</v>
      </c>
      <c r="BA2" t="s">
        <v>140</v>
      </c>
      <c r="BB2" t="s">
        <v>141</v>
      </c>
      <c r="BC2">
        <v>2</v>
      </c>
      <c r="BD2" s="7">
        <v>46292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BA13" sqref="BA13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120</v>
      </c>
      <c r="P1" s="4" t="s">
        <v>121</v>
      </c>
      <c r="Q1" s="4" t="s">
        <v>122</v>
      </c>
      <c r="R1" s="4" t="s">
        <v>126</v>
      </c>
      <c r="S1" s="4" t="s">
        <v>123</v>
      </c>
      <c r="T1" s="4" t="s">
        <v>127</v>
      </c>
      <c r="U1" s="4" t="s">
        <v>124</v>
      </c>
      <c r="V1" s="4" t="s">
        <v>125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106</v>
      </c>
      <c r="AG1" s="4" t="s">
        <v>107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114</v>
      </c>
      <c r="AT1" s="4" t="s">
        <v>112</v>
      </c>
      <c r="AU1" s="4" t="s">
        <v>113</v>
      </c>
      <c r="AV1" s="4" t="s">
        <v>115</v>
      </c>
      <c r="AW1" s="4" t="s">
        <v>116</v>
      </c>
      <c r="AX1" s="4" t="s">
        <v>117</v>
      </c>
      <c r="AY1" s="4" t="s">
        <v>36</v>
      </c>
      <c r="AZ1" s="4" t="s">
        <v>37</v>
      </c>
      <c r="BA1" s="4" t="s">
        <v>118</v>
      </c>
      <c r="BB1" s="4" t="s">
        <v>119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103</v>
      </c>
      <c r="B2" s="3" t="s">
        <v>44</v>
      </c>
      <c r="C2" s="3">
        <v>10</v>
      </c>
      <c r="D2" s="3"/>
      <c r="E2" s="3"/>
      <c r="F2" s="3"/>
      <c r="G2" s="3"/>
      <c r="H2" s="3"/>
      <c r="I2" s="3"/>
      <c r="J2" s="3"/>
      <c r="K2" s="3"/>
      <c r="L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>
        <v>1</v>
      </c>
      <c r="AT2" s="3"/>
      <c r="AU2" s="3">
        <v>1</v>
      </c>
      <c r="AV2" s="3"/>
      <c r="AW2" s="3"/>
      <c r="AX2" s="3"/>
      <c r="AY2" s="3"/>
      <c r="AZ2" s="3">
        <v>1</v>
      </c>
      <c r="BA2" s="3"/>
      <c r="BB2" s="3"/>
      <c r="BC2" s="3"/>
      <c r="BD2" s="3">
        <v>0</v>
      </c>
      <c r="BE2" s="3" t="s">
        <v>79</v>
      </c>
      <c r="BF2" t="s">
        <v>138</v>
      </c>
      <c r="BG2" t="s">
        <v>51</v>
      </c>
      <c r="BH2" t="s">
        <v>139</v>
      </c>
      <c r="BI2" s="1">
        <v>1</v>
      </c>
      <c r="BJ2">
        <v>2</v>
      </c>
    </row>
    <row r="3" spans="1:62" x14ac:dyDescent="0.3">
      <c r="A3" s="3" t="s">
        <v>142</v>
      </c>
      <c r="B3" s="3" t="s">
        <v>99</v>
      </c>
      <c r="C3" s="3">
        <v>94</v>
      </c>
      <c r="D3" s="3"/>
      <c r="E3" s="3"/>
      <c r="F3" s="3">
        <v>1</v>
      </c>
      <c r="G3" s="3"/>
      <c r="H3" s="3"/>
      <c r="I3" s="3"/>
      <c r="J3" s="3"/>
      <c r="M3" s="3"/>
      <c r="N3" s="3"/>
      <c r="O3">
        <v>15</v>
      </c>
      <c r="P3">
        <v>5</v>
      </c>
      <c r="Q3">
        <v>18</v>
      </c>
      <c r="R3">
        <v>4</v>
      </c>
      <c r="S3">
        <v>2</v>
      </c>
      <c r="T3">
        <v>1</v>
      </c>
      <c r="U3">
        <v>5</v>
      </c>
      <c r="V3">
        <v>1</v>
      </c>
      <c r="W3" s="3">
        <v>1</v>
      </c>
      <c r="X3" s="3"/>
      <c r="Y3" s="3"/>
      <c r="Z3" s="3">
        <v>1</v>
      </c>
      <c r="AA3" s="3">
        <v>1</v>
      </c>
      <c r="AB3" s="3">
        <v>3</v>
      </c>
      <c r="AC3" s="3">
        <v>2</v>
      </c>
      <c r="AD3" s="3">
        <v>3</v>
      </c>
      <c r="AE3" s="3">
        <v>2</v>
      </c>
      <c r="AF3" s="3">
        <v>1</v>
      </c>
      <c r="AG3" s="3">
        <v>1</v>
      </c>
      <c r="AH3" s="3"/>
      <c r="AI3" s="3">
        <v>2</v>
      </c>
      <c r="AJ3" s="3"/>
      <c r="AK3" s="3"/>
      <c r="AL3" s="3">
        <v>1</v>
      </c>
      <c r="AM3" s="3"/>
      <c r="AN3" s="3">
        <v>3</v>
      </c>
      <c r="AO3" s="3"/>
      <c r="AP3" s="3">
        <v>3</v>
      </c>
      <c r="AQ3" s="3"/>
      <c r="AR3" s="3">
        <v>3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79</v>
      </c>
      <c r="BF3" t="s">
        <v>138</v>
      </c>
      <c r="BG3" t="s">
        <v>51</v>
      </c>
      <c r="BH3" t="s">
        <v>139</v>
      </c>
      <c r="BI3" s="1">
        <v>1</v>
      </c>
      <c r="BJ3">
        <v>2</v>
      </c>
    </row>
    <row r="4" spans="1:62" x14ac:dyDescent="0.3">
      <c r="A4" s="3" t="s">
        <v>143</v>
      </c>
      <c r="B4" s="3" t="s">
        <v>45</v>
      </c>
      <c r="C4" s="3">
        <v>94</v>
      </c>
      <c r="D4" s="3">
        <v>1</v>
      </c>
      <c r="E4" s="3">
        <v>1</v>
      </c>
      <c r="F4" s="3"/>
      <c r="G4" s="3"/>
      <c r="H4" s="3"/>
      <c r="I4" s="3"/>
      <c r="J4" s="3"/>
      <c r="K4" s="3"/>
      <c r="L4" s="3"/>
      <c r="M4" s="3"/>
      <c r="N4" s="3"/>
      <c r="O4">
        <v>11</v>
      </c>
      <c r="P4">
        <v>24</v>
      </c>
      <c r="Q4">
        <v>25</v>
      </c>
      <c r="R4">
        <v>15</v>
      </c>
      <c r="S4">
        <v>20</v>
      </c>
      <c r="T4">
        <v>10</v>
      </c>
      <c r="U4" s="3"/>
      <c r="V4" s="3"/>
      <c r="W4" s="3"/>
      <c r="X4" s="3">
        <v>13</v>
      </c>
      <c r="Y4" s="3">
        <v>5</v>
      </c>
      <c r="Z4" s="3">
        <v>1</v>
      </c>
      <c r="AA4" s="3">
        <v>1</v>
      </c>
      <c r="AB4" s="3">
        <v>3</v>
      </c>
      <c r="AC4" s="3">
        <v>2</v>
      </c>
      <c r="AD4" s="3">
        <v>6</v>
      </c>
      <c r="AE4" s="3">
        <v>4</v>
      </c>
      <c r="AF4" s="3">
        <v>2</v>
      </c>
      <c r="AG4" s="3"/>
      <c r="AH4" s="3">
        <v>4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>
        <v>1</v>
      </c>
      <c r="AQ4" s="3"/>
      <c r="AR4" s="3">
        <v>2</v>
      </c>
      <c r="AS4" s="3">
        <v>1</v>
      </c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138</v>
      </c>
      <c r="BG4" t="s">
        <v>51</v>
      </c>
      <c r="BH4" t="s">
        <v>139</v>
      </c>
      <c r="BI4" s="1">
        <v>1</v>
      </c>
      <c r="BJ4">
        <v>2</v>
      </c>
    </row>
    <row r="5" spans="1:62" x14ac:dyDescent="0.3">
      <c r="A5" s="3" t="s">
        <v>43</v>
      </c>
      <c r="B5" s="3" t="s">
        <v>45</v>
      </c>
      <c r="C5" s="3">
        <v>69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17</v>
      </c>
      <c r="P5">
        <v>3</v>
      </c>
      <c r="Q5">
        <v>17</v>
      </c>
      <c r="R5">
        <v>2</v>
      </c>
      <c r="S5">
        <v>4</v>
      </c>
      <c r="T5">
        <v>3</v>
      </c>
      <c r="U5" s="3"/>
      <c r="V5" s="3"/>
      <c r="W5" s="3"/>
      <c r="X5" s="3">
        <v>2</v>
      </c>
      <c r="Y5" s="3">
        <v>1</v>
      </c>
      <c r="Z5" s="3"/>
      <c r="AA5" s="3"/>
      <c r="AB5" s="3">
        <v>3</v>
      </c>
      <c r="AC5" s="3">
        <v>2</v>
      </c>
      <c r="AD5" s="3">
        <v>4</v>
      </c>
      <c r="AE5" s="3">
        <v>4</v>
      </c>
      <c r="AF5" s="3"/>
      <c r="AG5" s="3">
        <v>1</v>
      </c>
      <c r="AH5" s="3">
        <v>1</v>
      </c>
      <c r="AI5" s="3">
        <v>2</v>
      </c>
      <c r="AJ5" s="3"/>
      <c r="AK5" s="3">
        <v>1</v>
      </c>
      <c r="AL5" s="3"/>
      <c r="AM5" s="3"/>
      <c r="AN5" s="3">
        <v>6</v>
      </c>
      <c r="AO5" s="3"/>
      <c r="AP5" s="3"/>
      <c r="AQ5" s="3"/>
      <c r="AR5" s="3">
        <v>2</v>
      </c>
      <c r="AS5" s="3">
        <v>2</v>
      </c>
      <c r="AT5" s="3"/>
      <c r="AU5" s="3"/>
      <c r="AV5" s="3"/>
      <c r="AW5" s="3"/>
      <c r="AX5" s="3"/>
      <c r="AY5" s="3">
        <v>1</v>
      </c>
      <c r="AZ5" s="3"/>
      <c r="BA5" s="3"/>
      <c r="BB5" s="3"/>
      <c r="BC5" s="3"/>
      <c r="BD5" s="3">
        <v>1</v>
      </c>
      <c r="BE5" s="3" t="s">
        <v>79</v>
      </c>
      <c r="BF5" t="s">
        <v>138</v>
      </c>
      <c r="BG5" t="s">
        <v>51</v>
      </c>
      <c r="BH5" t="s">
        <v>139</v>
      </c>
      <c r="BI5" s="1">
        <v>1</v>
      </c>
      <c r="BJ5">
        <v>2</v>
      </c>
    </row>
    <row r="6" spans="1:62" x14ac:dyDescent="0.3">
      <c r="A6" s="3" t="s">
        <v>128</v>
      </c>
      <c r="B6" s="3" t="s">
        <v>100</v>
      </c>
      <c r="C6" s="3">
        <v>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>
        <v>3</v>
      </c>
      <c r="P6">
        <v>9</v>
      </c>
      <c r="Q6">
        <v>7</v>
      </c>
      <c r="R6">
        <v>4</v>
      </c>
      <c r="S6">
        <v>4</v>
      </c>
      <c r="T6">
        <v>1</v>
      </c>
      <c r="U6">
        <v>8</v>
      </c>
      <c r="V6">
        <v>2</v>
      </c>
      <c r="W6" s="3"/>
      <c r="X6" s="3">
        <v>3</v>
      </c>
      <c r="Y6" s="3">
        <v>1</v>
      </c>
      <c r="Z6" s="3">
        <v>5</v>
      </c>
      <c r="AA6" s="3">
        <v>3</v>
      </c>
      <c r="AB6" s="3">
        <v>5</v>
      </c>
      <c r="AC6" s="3">
        <v>5</v>
      </c>
      <c r="AD6" s="3">
        <v>2</v>
      </c>
      <c r="AE6" s="3">
        <v>1</v>
      </c>
      <c r="AF6" s="3"/>
      <c r="AG6" s="3">
        <v>1</v>
      </c>
      <c r="AH6" s="3"/>
      <c r="AI6" s="3">
        <v>1</v>
      </c>
      <c r="AJ6" s="3"/>
      <c r="AK6" s="3"/>
      <c r="AL6" s="3">
        <v>4</v>
      </c>
      <c r="AM6" s="3"/>
      <c r="AN6" s="3">
        <v>5</v>
      </c>
      <c r="AO6" s="3"/>
      <c r="AP6" s="3">
        <v>2</v>
      </c>
      <c r="AQ6" s="3"/>
      <c r="AR6" s="3">
        <v>3</v>
      </c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138</v>
      </c>
      <c r="BG6" t="s">
        <v>51</v>
      </c>
      <c r="BH6" t="s">
        <v>139</v>
      </c>
      <c r="BI6" s="1">
        <v>1</v>
      </c>
      <c r="BJ6">
        <v>2</v>
      </c>
    </row>
    <row r="7" spans="1:62" x14ac:dyDescent="0.3">
      <c r="A7" s="3" t="s">
        <v>144</v>
      </c>
      <c r="B7" s="3" t="s">
        <v>46</v>
      </c>
      <c r="C7" s="3">
        <v>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11</v>
      </c>
      <c r="P7">
        <v>4</v>
      </c>
      <c r="Q7">
        <v>12</v>
      </c>
      <c r="R7">
        <v>2</v>
      </c>
      <c r="S7">
        <v>1</v>
      </c>
      <c r="T7" s="3"/>
      <c r="U7" s="3"/>
      <c r="V7" s="3"/>
      <c r="W7" s="3"/>
      <c r="X7" s="3">
        <v>1</v>
      </c>
      <c r="Y7" s="3"/>
      <c r="Z7" s="3">
        <v>1</v>
      </c>
      <c r="AA7" s="3"/>
      <c r="AB7" s="3">
        <v>5</v>
      </c>
      <c r="AC7" s="3">
        <v>2</v>
      </c>
      <c r="AD7" s="3">
        <v>4</v>
      </c>
      <c r="AE7" s="3">
        <v>2</v>
      </c>
      <c r="AF7" s="3">
        <v>1</v>
      </c>
      <c r="AG7" s="3"/>
      <c r="AH7" s="3">
        <v>1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1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>
        <v>1</v>
      </c>
      <c r="BE7" s="3" t="s">
        <v>79</v>
      </c>
      <c r="BF7" t="s">
        <v>138</v>
      </c>
      <c r="BG7" t="s">
        <v>51</v>
      </c>
      <c r="BH7" t="s">
        <v>139</v>
      </c>
      <c r="BI7" s="1">
        <v>1</v>
      </c>
      <c r="BJ7">
        <v>2</v>
      </c>
    </row>
    <row r="8" spans="1:62" x14ac:dyDescent="0.3">
      <c r="A8" s="3" t="s">
        <v>52</v>
      </c>
      <c r="B8" s="3" t="s">
        <v>46</v>
      </c>
      <c r="C8" s="3">
        <v>94</v>
      </c>
      <c r="D8" s="3"/>
      <c r="E8" s="3"/>
      <c r="F8" s="3"/>
      <c r="G8" s="3"/>
      <c r="H8" s="3">
        <v>3</v>
      </c>
      <c r="I8" s="3">
        <v>1</v>
      </c>
      <c r="J8" s="3"/>
      <c r="K8" s="3"/>
      <c r="L8" s="3"/>
      <c r="M8">
        <v>1</v>
      </c>
      <c r="N8">
        <v>1</v>
      </c>
      <c r="O8">
        <v>4</v>
      </c>
      <c r="P8">
        <v>22</v>
      </c>
      <c r="Q8">
        <v>16</v>
      </c>
      <c r="R8">
        <v>13</v>
      </c>
      <c r="S8">
        <v>13</v>
      </c>
      <c r="T8">
        <v>5</v>
      </c>
      <c r="U8">
        <v>11</v>
      </c>
      <c r="V8">
        <v>4</v>
      </c>
      <c r="W8" s="3">
        <v>1</v>
      </c>
      <c r="X8" s="3">
        <v>5</v>
      </c>
      <c r="Y8" s="3">
        <v>1</v>
      </c>
      <c r="Z8" s="3">
        <v>8</v>
      </c>
      <c r="AA8" s="3">
        <v>5</v>
      </c>
      <c r="AB8" s="3">
        <v>6</v>
      </c>
      <c r="AC8" s="3">
        <v>3</v>
      </c>
      <c r="AD8" s="3">
        <v>4</v>
      </c>
      <c r="AE8" s="3">
        <v>1</v>
      </c>
      <c r="AF8" s="3">
        <v>2</v>
      </c>
      <c r="AG8" s="3">
        <v>1</v>
      </c>
      <c r="AH8" s="3">
        <v>1</v>
      </c>
      <c r="AI8" s="3">
        <v>2</v>
      </c>
      <c r="AJ8" s="3"/>
      <c r="AK8" s="3"/>
      <c r="AL8" s="3">
        <v>5</v>
      </c>
      <c r="AM8" s="3"/>
      <c r="AN8" s="3">
        <v>3</v>
      </c>
      <c r="AO8" s="3"/>
      <c r="AP8" s="3">
        <v>1</v>
      </c>
      <c r="AQ8" s="3"/>
      <c r="AR8" s="3">
        <v>8</v>
      </c>
      <c r="AS8" s="3">
        <v>1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138</v>
      </c>
      <c r="BG8" t="s">
        <v>51</v>
      </c>
      <c r="BH8" t="s">
        <v>139</v>
      </c>
      <c r="BI8" s="1">
        <v>1</v>
      </c>
      <c r="BJ8">
        <v>2</v>
      </c>
    </row>
    <row r="9" spans="1:62" x14ac:dyDescent="0.3">
      <c r="A9" s="3" t="s">
        <v>145</v>
      </c>
      <c r="B9" s="3" t="s">
        <v>47</v>
      </c>
      <c r="C9" s="3">
        <v>58</v>
      </c>
      <c r="D9" s="3"/>
      <c r="E9" s="3">
        <v>1</v>
      </c>
      <c r="F9" s="3"/>
      <c r="G9" s="3"/>
      <c r="H9" s="3">
        <v>1</v>
      </c>
      <c r="I9" s="3"/>
      <c r="J9" s="3"/>
      <c r="K9" s="3"/>
      <c r="L9" s="3"/>
      <c r="M9" s="3"/>
      <c r="N9" s="3"/>
      <c r="O9">
        <v>4</v>
      </c>
      <c r="P9">
        <v>4</v>
      </c>
      <c r="Q9">
        <v>6</v>
      </c>
      <c r="R9">
        <v>2</v>
      </c>
      <c r="S9" s="3"/>
      <c r="T9" s="3"/>
      <c r="U9">
        <v>1</v>
      </c>
      <c r="V9" s="3"/>
      <c r="W9" s="3"/>
      <c r="X9" s="3"/>
      <c r="Y9" s="3"/>
      <c r="Z9" s="3">
        <v>7</v>
      </c>
      <c r="AA9" s="3">
        <v>1</v>
      </c>
      <c r="AB9" s="3">
        <v>4</v>
      </c>
      <c r="AC9" s="3">
        <v>2</v>
      </c>
      <c r="AD9" s="3">
        <v>4</v>
      </c>
      <c r="AE9" s="3">
        <v>2</v>
      </c>
      <c r="AF9" s="3">
        <v>2</v>
      </c>
      <c r="AG9" s="3">
        <v>1</v>
      </c>
      <c r="AH9" s="3"/>
      <c r="AI9" s="3"/>
      <c r="AJ9" s="3">
        <v>2</v>
      </c>
      <c r="AK9" s="3"/>
      <c r="AL9" s="3">
        <v>2</v>
      </c>
      <c r="AM9" s="3"/>
      <c r="AN9" s="3">
        <v>1</v>
      </c>
      <c r="AO9" s="3"/>
      <c r="AP9" s="3">
        <v>2</v>
      </c>
      <c r="AQ9" s="3"/>
      <c r="AR9" s="3">
        <v>2</v>
      </c>
      <c r="AS9" s="3">
        <v>2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138</v>
      </c>
      <c r="BG9" t="s">
        <v>51</v>
      </c>
      <c r="BH9" t="s">
        <v>139</v>
      </c>
      <c r="BI9" s="1">
        <v>1</v>
      </c>
      <c r="BJ9">
        <v>2</v>
      </c>
    </row>
    <row r="10" spans="1:62" x14ac:dyDescent="0.3">
      <c r="A10" s="3" t="s">
        <v>129</v>
      </c>
      <c r="B10" s="3" t="s">
        <v>101</v>
      </c>
      <c r="C10" s="3">
        <v>10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>
        <v>2</v>
      </c>
      <c r="Q10" s="3"/>
      <c r="R10" s="3"/>
      <c r="S10">
        <v>1</v>
      </c>
      <c r="T10" s="3"/>
      <c r="U10">
        <v>1</v>
      </c>
      <c r="V10">
        <v>1</v>
      </c>
      <c r="W10" s="3"/>
      <c r="X10" s="3"/>
      <c r="Y10" s="3"/>
      <c r="Z10" s="3"/>
      <c r="AA10" s="3"/>
      <c r="AB10" s="3"/>
      <c r="AC10" s="3"/>
      <c r="AD10" s="3">
        <v>2</v>
      </c>
      <c r="AE10" s="3">
        <v>2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138</v>
      </c>
      <c r="BG10" t="s">
        <v>51</v>
      </c>
      <c r="BH10" t="s">
        <v>139</v>
      </c>
      <c r="BI10" s="1">
        <v>1</v>
      </c>
      <c r="BJ10">
        <v>2</v>
      </c>
    </row>
    <row r="11" spans="1:62" x14ac:dyDescent="0.3">
      <c r="A11" s="3" t="s">
        <v>102</v>
      </c>
      <c r="B11" s="3" t="s">
        <v>101</v>
      </c>
      <c r="C11" s="3">
        <v>94</v>
      </c>
      <c r="D11" s="3"/>
      <c r="E11" s="3"/>
      <c r="F11" s="3"/>
      <c r="G11" s="3"/>
      <c r="H11" s="3"/>
      <c r="I11" s="3"/>
      <c r="J11" s="3"/>
      <c r="K11" s="3"/>
      <c r="L11" s="3"/>
      <c r="M11">
        <v>1</v>
      </c>
      <c r="N11" s="3"/>
      <c r="O11">
        <v>3</v>
      </c>
      <c r="P11">
        <v>12</v>
      </c>
      <c r="Q11">
        <v>13</v>
      </c>
      <c r="R11">
        <v>11</v>
      </c>
      <c r="S11" s="3"/>
      <c r="T11" s="3"/>
      <c r="U11">
        <v>2</v>
      </c>
      <c r="V11">
        <v>1</v>
      </c>
      <c r="W11" s="3">
        <v>2</v>
      </c>
      <c r="X11" s="3"/>
      <c r="Y11" s="3"/>
      <c r="Z11" s="3">
        <v>10</v>
      </c>
      <c r="AA11" s="3">
        <v>3</v>
      </c>
      <c r="AB11" s="3">
        <v>2</v>
      </c>
      <c r="AC11" s="3">
        <v>1</v>
      </c>
      <c r="AD11" s="3">
        <v>5</v>
      </c>
      <c r="AE11" s="3">
        <v>2</v>
      </c>
      <c r="AF11" s="3"/>
      <c r="AG11" s="3"/>
      <c r="AH11" s="3">
        <v>1</v>
      </c>
      <c r="AI11" s="3"/>
      <c r="AJ11" s="3"/>
      <c r="AK11" s="3"/>
      <c r="AL11" s="3">
        <v>9</v>
      </c>
      <c r="AM11" s="3"/>
      <c r="AN11" s="3">
        <v>1</v>
      </c>
      <c r="AO11" s="3"/>
      <c r="AP11" s="3"/>
      <c r="AQ11" s="3"/>
      <c r="AR11" s="3">
        <v>1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138</v>
      </c>
      <c r="BG11" t="s">
        <v>51</v>
      </c>
      <c r="BH11" t="s">
        <v>139</v>
      </c>
      <c r="BI11" s="1">
        <v>1</v>
      </c>
      <c r="BJ11">
        <v>2</v>
      </c>
    </row>
    <row r="12" spans="1:62" x14ac:dyDescent="0.3">
      <c r="A12" s="3" t="s">
        <v>146</v>
      </c>
      <c r="B12" s="3" t="s">
        <v>48</v>
      </c>
      <c r="C12" s="3">
        <v>69</v>
      </c>
      <c r="D12" s="3"/>
      <c r="E12" s="3"/>
      <c r="F12" s="3"/>
      <c r="G12" s="3"/>
      <c r="H12" s="3">
        <v>1</v>
      </c>
      <c r="I12" s="3"/>
      <c r="J12" s="3">
        <v>1</v>
      </c>
      <c r="K12" s="3"/>
      <c r="L12" s="3">
        <v>1</v>
      </c>
      <c r="M12" s="3"/>
      <c r="N12" s="3"/>
      <c r="O12">
        <v>3</v>
      </c>
      <c r="P12">
        <v>10</v>
      </c>
      <c r="Q12">
        <v>10</v>
      </c>
      <c r="R12">
        <v>7</v>
      </c>
      <c r="S12">
        <v>1</v>
      </c>
      <c r="T12">
        <v>1</v>
      </c>
      <c r="U12" s="3"/>
      <c r="V12" s="3"/>
      <c r="W12" s="3"/>
      <c r="X12" s="3"/>
      <c r="Y12" s="3"/>
      <c r="Z12" s="3">
        <v>4</v>
      </c>
      <c r="AA12" s="3">
        <v>2</v>
      </c>
      <c r="AB12" s="3">
        <v>2</v>
      </c>
      <c r="AC12" s="3">
        <v>2</v>
      </c>
      <c r="AD12" s="3">
        <v>7</v>
      </c>
      <c r="AE12" s="3">
        <v>2</v>
      </c>
      <c r="AF12" s="3"/>
      <c r="AG12" s="3"/>
      <c r="AH12" s="3"/>
      <c r="AI12" s="3"/>
      <c r="AJ12" s="3"/>
      <c r="AK12" s="3"/>
      <c r="AL12" s="3">
        <v>3</v>
      </c>
      <c r="AM12" s="3"/>
      <c r="AN12" s="3"/>
      <c r="AO12" s="3"/>
      <c r="AP12" s="3">
        <v>1</v>
      </c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138</v>
      </c>
      <c r="BG12" t="s">
        <v>51</v>
      </c>
      <c r="BH12" t="s">
        <v>139</v>
      </c>
      <c r="BI12" s="1">
        <v>1</v>
      </c>
      <c r="BJ12">
        <v>2</v>
      </c>
    </row>
    <row r="13" spans="1:62" x14ac:dyDescent="0.3">
      <c r="A13" s="3" t="s">
        <v>147</v>
      </c>
      <c r="B13" s="3" t="s">
        <v>44</v>
      </c>
      <c r="C13" s="3">
        <v>84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6</v>
      </c>
      <c r="P13">
        <v>5</v>
      </c>
      <c r="Q13">
        <v>6</v>
      </c>
      <c r="R13" s="3"/>
      <c r="S13">
        <v>5</v>
      </c>
      <c r="T13" s="3"/>
      <c r="U13" s="3"/>
      <c r="V13" s="3"/>
      <c r="W13" s="3"/>
      <c r="X13" s="3">
        <v>9</v>
      </c>
      <c r="Y13" s="3">
        <v>1</v>
      </c>
      <c r="Z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>
        <v>1</v>
      </c>
      <c r="BB13" s="3"/>
      <c r="BC13" s="3"/>
      <c r="BD13" s="3">
        <v>1</v>
      </c>
      <c r="BE13" s="3" t="s">
        <v>105</v>
      </c>
      <c r="BF13" t="s">
        <v>138</v>
      </c>
      <c r="BG13" t="s">
        <v>51</v>
      </c>
      <c r="BH13" t="s">
        <v>139</v>
      </c>
      <c r="BI13" s="1">
        <v>1</v>
      </c>
      <c r="BJ13">
        <v>2</v>
      </c>
    </row>
    <row r="14" spans="1:62" x14ac:dyDescent="0.3">
      <c r="A14" s="3" t="s">
        <v>148</v>
      </c>
      <c r="B14" s="3" t="s">
        <v>46</v>
      </c>
      <c r="C14" s="3">
        <v>36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>
        <v>5</v>
      </c>
      <c r="P14">
        <v>8</v>
      </c>
      <c r="Q14">
        <v>12</v>
      </c>
      <c r="R14">
        <v>8</v>
      </c>
      <c r="S14">
        <v>2</v>
      </c>
      <c r="T14">
        <v>1</v>
      </c>
      <c r="U14" s="3"/>
      <c r="V14" s="3"/>
      <c r="W14" s="3"/>
      <c r="X14" s="3"/>
      <c r="Y14" s="3"/>
      <c r="Z14" s="3">
        <v>2</v>
      </c>
      <c r="AA14" s="3"/>
      <c r="AB14" s="3"/>
      <c r="AC14" s="3"/>
      <c r="AD14" s="3">
        <v>2</v>
      </c>
      <c r="AE14" s="3">
        <v>1</v>
      </c>
      <c r="AF14" s="3">
        <v>1</v>
      </c>
      <c r="AG14" s="3"/>
      <c r="AH14" s="3"/>
      <c r="AI14" s="3"/>
      <c r="AJ14" s="3">
        <v>2</v>
      </c>
      <c r="AK14" s="3"/>
      <c r="AL14" s="3"/>
      <c r="AM14" s="3"/>
      <c r="AN14" s="3">
        <v>2</v>
      </c>
      <c r="AO14" s="3"/>
      <c r="AP14" s="3">
        <v>1</v>
      </c>
      <c r="AQ14" s="3"/>
      <c r="AR14" s="3">
        <v>1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105</v>
      </c>
      <c r="BF14" t="s">
        <v>138</v>
      </c>
      <c r="BG14" t="s">
        <v>51</v>
      </c>
      <c r="BH14" t="s">
        <v>139</v>
      </c>
      <c r="BI14" s="1">
        <v>1</v>
      </c>
      <c r="BJ14">
        <v>2</v>
      </c>
    </row>
    <row r="15" spans="1:62" x14ac:dyDescent="0.3">
      <c r="A15" s="3" t="s">
        <v>149</v>
      </c>
      <c r="B15" s="3" t="s">
        <v>48</v>
      </c>
      <c r="C15" s="3">
        <v>36</v>
      </c>
      <c r="D15" s="3"/>
      <c r="E15" s="3"/>
      <c r="F15" s="3">
        <v>1</v>
      </c>
      <c r="G15" s="3"/>
      <c r="H15" s="3"/>
      <c r="I15" s="3"/>
      <c r="J15" s="3"/>
      <c r="K15" s="3"/>
      <c r="L15" s="3">
        <v>1</v>
      </c>
      <c r="M15" s="3"/>
      <c r="N15" s="3"/>
      <c r="O15" s="3"/>
      <c r="P15">
        <v>2</v>
      </c>
      <c r="Q15">
        <v>2</v>
      </c>
      <c r="R15">
        <v>2</v>
      </c>
      <c r="S15">
        <v>1</v>
      </c>
      <c r="T15">
        <v>1</v>
      </c>
      <c r="U15" s="3"/>
      <c r="V15" s="3"/>
      <c r="W15" s="3"/>
      <c r="X15" s="3"/>
      <c r="Y15" s="3"/>
      <c r="Z15" s="3"/>
      <c r="AA15" s="3"/>
      <c r="AB15" s="3"/>
      <c r="AC15" s="3"/>
      <c r="AD15" s="3">
        <v>3</v>
      </c>
      <c r="AE15" s="3"/>
      <c r="AF15" s="3"/>
      <c r="AG15" s="3"/>
      <c r="AH15" s="3"/>
      <c r="AI15" s="3"/>
      <c r="AJ15" s="3"/>
      <c r="AK15" s="3"/>
      <c r="AL15" s="3">
        <v>1</v>
      </c>
      <c r="AM15" s="3"/>
      <c r="AN15" s="3">
        <v>1</v>
      </c>
      <c r="AO15" s="3"/>
      <c r="AP15" s="3"/>
      <c r="AQ15" s="3"/>
      <c r="AR15" s="3"/>
      <c r="AS15" s="3">
        <v>2</v>
      </c>
      <c r="AT15" s="3"/>
      <c r="AU15" s="3"/>
      <c r="AV15" s="3"/>
      <c r="AW15" s="3"/>
      <c r="AX15" s="3"/>
      <c r="AY15" s="3">
        <v>1</v>
      </c>
      <c r="AZ15" s="3"/>
      <c r="BA15" s="3"/>
      <c r="BB15" s="3"/>
      <c r="BC15" s="3"/>
      <c r="BD15" s="3">
        <v>0</v>
      </c>
      <c r="BE15" s="3" t="s">
        <v>105</v>
      </c>
      <c r="BF15" t="s">
        <v>138</v>
      </c>
      <c r="BG15" t="s">
        <v>51</v>
      </c>
      <c r="BH15" t="s">
        <v>139</v>
      </c>
      <c r="BI15" s="1">
        <v>1</v>
      </c>
      <c r="BJ15">
        <v>2</v>
      </c>
    </row>
    <row r="16" spans="1:62" x14ac:dyDescent="0.3">
      <c r="A16" s="3" t="s">
        <v>150</v>
      </c>
      <c r="B16" s="3" t="s">
        <v>45</v>
      </c>
      <c r="C16" s="3">
        <v>25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>
        <v>1</v>
      </c>
      <c r="V16" s="3"/>
      <c r="W16" s="3"/>
      <c r="X16" s="3"/>
      <c r="Y16" s="3"/>
      <c r="Z16" s="3"/>
      <c r="AA16" s="3"/>
      <c r="AB16" s="3"/>
      <c r="AC16" s="3"/>
      <c r="AD16" s="3">
        <v>2</v>
      </c>
      <c r="AE16" s="3">
        <v>2</v>
      </c>
      <c r="AF16" s="3"/>
      <c r="AG16" s="3"/>
      <c r="AH16" s="3"/>
      <c r="AI16" s="3">
        <v>1</v>
      </c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>
        <v>1</v>
      </c>
      <c r="BD16" s="3">
        <v>0</v>
      </c>
      <c r="BE16" s="3" t="s">
        <v>105</v>
      </c>
      <c r="BF16" t="s">
        <v>138</v>
      </c>
      <c r="BG16" t="s">
        <v>51</v>
      </c>
      <c r="BH16" t="s">
        <v>139</v>
      </c>
      <c r="BI16" s="1">
        <v>1</v>
      </c>
      <c r="BJ16">
        <v>2</v>
      </c>
    </row>
    <row r="17" spans="1:62" x14ac:dyDescent="0.3">
      <c r="A17" s="3" t="s">
        <v>151</v>
      </c>
      <c r="B17" s="3" t="s">
        <v>101</v>
      </c>
      <c r="C17" s="3">
        <v>25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1</v>
      </c>
      <c r="P17">
        <v>1</v>
      </c>
      <c r="Q17">
        <v>2</v>
      </c>
      <c r="R17">
        <v>1</v>
      </c>
      <c r="S17" s="3"/>
      <c r="T17" s="3"/>
      <c r="U17">
        <v>3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>
        <v>1</v>
      </c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105</v>
      </c>
      <c r="BF17" t="s">
        <v>138</v>
      </c>
      <c r="BG17" t="s">
        <v>51</v>
      </c>
      <c r="BH17" t="s">
        <v>139</v>
      </c>
      <c r="BI17" s="1">
        <v>1</v>
      </c>
      <c r="BJ17">
        <v>2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B2" sqref="B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49</v>
      </c>
    </row>
    <row r="2" spans="1:10" x14ac:dyDescent="0.3">
      <c r="A2" t="str">
        <f>Sheet1!AS2</f>
        <v>Πανεδεσσαικος</v>
      </c>
      <c r="B2">
        <v>6</v>
      </c>
      <c r="C2">
        <v>3</v>
      </c>
      <c r="D2">
        <v>2</v>
      </c>
      <c r="E2">
        <v>1</v>
      </c>
      <c r="F2">
        <v>5</v>
      </c>
      <c r="G2">
        <v>1</v>
      </c>
      <c r="H2">
        <v>2</v>
      </c>
      <c r="I2">
        <v>5</v>
      </c>
      <c r="J2">
        <f>Sheet1!BC2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:D16"/>
  <sheetViews>
    <sheetView tabSelected="1" workbookViewId="0">
      <selection activeCell="B1" sqref="B1"/>
    </sheetView>
  </sheetViews>
  <sheetFormatPr defaultRowHeight="14.4" x14ac:dyDescent="0.3"/>
  <cols>
    <col min="1" max="1" width="16.88671875" bestFit="1" customWidth="1"/>
    <col min="2" max="2" width="8.109375" bestFit="1" customWidth="1"/>
    <col min="3" max="3" width="10.33203125" bestFit="1" customWidth="1"/>
    <col min="4" max="4" width="24.21875" bestFit="1" customWidth="1"/>
  </cols>
  <sheetData>
    <row r="1" spans="1:4" x14ac:dyDescent="0.3">
      <c r="A1" s="8" t="s">
        <v>152</v>
      </c>
      <c r="B1" s="9" t="s">
        <v>153</v>
      </c>
      <c r="C1" s="10" t="s">
        <v>154</v>
      </c>
      <c r="D1" s="10" t="s">
        <v>155</v>
      </c>
    </row>
    <row r="2" spans="1:4" x14ac:dyDescent="0.3">
      <c r="A2" t="s">
        <v>156</v>
      </c>
      <c r="B2" s="11">
        <v>6.5</v>
      </c>
      <c r="C2" s="11">
        <v>29.5</v>
      </c>
      <c r="D2" s="11">
        <v>0.3</v>
      </c>
    </row>
    <row r="3" spans="1:4" x14ac:dyDescent="0.3">
      <c r="A3" t="s">
        <v>102</v>
      </c>
      <c r="B3" s="11">
        <v>9.3000000000000007</v>
      </c>
      <c r="C3" s="11">
        <v>32.200000000000003</v>
      </c>
      <c r="D3" s="11">
        <v>0.5</v>
      </c>
    </row>
    <row r="4" spans="1:4" x14ac:dyDescent="0.3">
      <c r="A4" t="s">
        <v>129</v>
      </c>
      <c r="B4" s="11">
        <v>1.2</v>
      </c>
      <c r="C4" s="11">
        <v>27</v>
      </c>
      <c r="D4" s="11">
        <v>0</v>
      </c>
    </row>
    <row r="5" spans="1:4" x14ac:dyDescent="0.3">
      <c r="A5" t="s">
        <v>146</v>
      </c>
      <c r="B5" s="11">
        <v>7.3</v>
      </c>
      <c r="C5" s="11">
        <v>28.9</v>
      </c>
      <c r="D5" s="11">
        <v>0.3</v>
      </c>
    </row>
    <row r="6" spans="1:4" x14ac:dyDescent="0.3">
      <c r="A6" t="s">
        <v>52</v>
      </c>
      <c r="B6" s="11">
        <v>9.6</v>
      </c>
      <c r="C6" s="11">
        <v>27.6</v>
      </c>
      <c r="D6" s="11">
        <v>0.4</v>
      </c>
    </row>
    <row r="7" spans="1:4" x14ac:dyDescent="0.3">
      <c r="A7" t="s">
        <v>128</v>
      </c>
      <c r="B7" s="11">
        <v>10.6</v>
      </c>
      <c r="C7" s="11">
        <v>30.3</v>
      </c>
      <c r="D7" s="11">
        <v>0.6</v>
      </c>
    </row>
    <row r="8" spans="1:4" x14ac:dyDescent="0.3">
      <c r="A8" t="s">
        <v>150</v>
      </c>
      <c r="B8" s="11">
        <v>2.1</v>
      </c>
      <c r="C8" s="11">
        <v>26.6</v>
      </c>
      <c r="D8" s="11">
        <v>0.1</v>
      </c>
    </row>
    <row r="9" spans="1:4" x14ac:dyDescent="0.3">
      <c r="A9" t="s">
        <v>144</v>
      </c>
      <c r="B9" s="11">
        <v>7.5</v>
      </c>
      <c r="C9" s="11">
        <v>28</v>
      </c>
      <c r="D9" s="11">
        <v>0.3</v>
      </c>
    </row>
    <row r="10" spans="1:4" x14ac:dyDescent="0.3">
      <c r="A10" t="s">
        <v>142</v>
      </c>
      <c r="B10" s="11">
        <v>10.3</v>
      </c>
      <c r="C10" s="11">
        <v>30.9</v>
      </c>
      <c r="D10" s="11">
        <v>0.4</v>
      </c>
    </row>
    <row r="11" spans="1:4" x14ac:dyDescent="0.3">
      <c r="A11" t="s">
        <v>143</v>
      </c>
      <c r="B11" s="11">
        <v>9.4</v>
      </c>
      <c r="C11" s="11">
        <v>29.4</v>
      </c>
      <c r="D11" s="11">
        <v>0.4</v>
      </c>
    </row>
    <row r="12" spans="1:4" x14ac:dyDescent="0.3">
      <c r="A12" t="s">
        <v>43</v>
      </c>
      <c r="B12" s="11">
        <v>7.5</v>
      </c>
      <c r="C12" s="11">
        <v>33.4</v>
      </c>
      <c r="D12" s="11">
        <v>0.4</v>
      </c>
    </row>
    <row r="13" spans="1:4" x14ac:dyDescent="0.3">
      <c r="A13" t="s">
        <v>151</v>
      </c>
      <c r="B13" s="11">
        <v>2.2000000000000002</v>
      </c>
      <c r="C13" s="11">
        <v>30.4</v>
      </c>
      <c r="D13" s="11">
        <v>0.1</v>
      </c>
    </row>
    <row r="14" spans="1:4" x14ac:dyDescent="0.3">
      <c r="A14" t="s">
        <v>145</v>
      </c>
      <c r="B14" s="11">
        <v>6.9</v>
      </c>
      <c r="C14" s="11">
        <v>30.8</v>
      </c>
      <c r="D14" s="11">
        <v>0.4</v>
      </c>
    </row>
    <row r="15" spans="1:4" x14ac:dyDescent="0.3">
      <c r="A15" t="s">
        <v>148</v>
      </c>
      <c r="B15" s="11">
        <v>3.4</v>
      </c>
      <c r="C15" s="11">
        <v>28</v>
      </c>
      <c r="D15" s="11">
        <v>0.1</v>
      </c>
    </row>
    <row r="16" spans="1:4" x14ac:dyDescent="0.3">
      <c r="A16" t="s">
        <v>157</v>
      </c>
      <c r="B16" s="11">
        <v>3.6</v>
      </c>
      <c r="C16" s="11">
        <v>29.5</v>
      </c>
      <c r="D16" s="11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2026-10-07T10:45:19Z</dcterms:modified>
  <cp:category/>
  <cp:contentStatus/>
</cp:coreProperties>
</file>