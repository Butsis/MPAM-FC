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"/>
    </mc:Choice>
  </mc:AlternateContent>
  <xr:revisionPtr revIDLastSave="1145" documentId="8_{BB149310-9C70-4F0D-AF38-12983800A995}" xr6:coauthVersionLast="47" xr6:coauthVersionMax="47" xr10:uidLastSave="{D6DE8988-2D79-4E29-8744-6ECB9A0C352B}"/>
  <bookViews>
    <workbookView xWindow="-108" yWindow="-108" windowWidth="23256" windowHeight="13896" activeTab="1" xr2:uid="{00000000-000D-0000-FFFF-FFFF00000000}"/>
  </bookViews>
  <sheets>
    <sheet name="Sheet1" sheetId="5" r:id="rId1"/>
    <sheet name="Sheet2" sheetId="6" r:id="rId2"/>
    <sheet name="Sheet3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I2" i="5"/>
  <c r="H2" i="5"/>
  <c r="G2" i="5"/>
  <c r="F2" i="5"/>
  <c r="AP2" i="5" l="1"/>
  <c r="AO2" i="5"/>
  <c r="AN2" i="5"/>
  <c r="AM2" i="5"/>
  <c r="AL2" i="5"/>
  <c r="AK2" i="5"/>
  <c r="AJ2" i="5"/>
  <c r="AI2" i="5"/>
  <c r="AG2" i="5"/>
  <c r="AF2" i="5"/>
  <c r="AE2" i="5"/>
  <c r="AD2" i="5"/>
  <c r="AB2" i="5"/>
  <c r="AA2" i="5"/>
  <c r="Y2" i="5"/>
  <c r="X2" i="5"/>
  <c r="V2" i="5"/>
  <c r="U2" i="5"/>
  <c r="T2" i="5"/>
  <c r="S2" i="5"/>
  <c r="D2" i="5"/>
  <c r="C2" i="5"/>
  <c r="B2" i="5"/>
  <c r="AP2" i="6"/>
  <c r="AT2" i="5"/>
  <c r="AS2" i="5"/>
  <c r="AV2" i="5"/>
  <c r="AU2" i="5"/>
  <c r="W2" i="5" l="1"/>
  <c r="AH2" i="5"/>
  <c r="E2" i="5"/>
  <c r="AC2" i="5"/>
  <c r="Z2" i="5"/>
  <c r="A2" i="5"/>
</calcChain>
</file>

<file path=xl/sharedStrings.xml><?xml version="1.0" encoding="utf-8"?>
<sst xmlns="http://schemas.openxmlformats.org/spreadsheetml/2006/main" count="234" uniqueCount="156">
  <si>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</si>
  <si>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</si>
  <si>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</si>
  <si>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</si>
  <si>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</si>
  <si>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</si>
  <si>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</si>
  <si>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</si>
  <si>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</si>
  <si>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</si>
  <si>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</si>
  <si>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</si>
  <si>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</si>
  <si>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</si>
  <si>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</si>
  <si>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FOULS COMMITED</t>
  </si>
  <si>
    <t>ASSISTS</t>
  </si>
  <si>
    <t>KEY PASSES</t>
  </si>
  <si>
    <t>BIG CHANCES MISSED</t>
  </si>
  <si>
    <t>CLEARANCES</t>
  </si>
  <si>
    <t>INTERCEPTIONS</t>
  </si>
  <si>
    <t>SAVES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</si>
  <si>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</si>
  <si>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</si>
  <si>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</si>
  <si>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</si>
  <si>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</si>
  <si>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</si>
  <si>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</si>
  <si>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</si>
  <si>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</si>
  <si>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</si>
  <si>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</si>
  <si>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</si>
  <si>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</si>
  <si>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</si>
  <si>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</si>
  <si>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</si>
  <si>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</si>
  <si>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</si>
  <si>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</si>
  <si>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</si>
  <si>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</si>
  <si>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</si>
  <si>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Team</t>
  </si>
  <si>
    <t xml:space="preserve">Round </t>
  </si>
  <si>
    <t xml:space="preserve">Half </t>
  </si>
  <si>
    <t>Total Shots Mpam</t>
  </si>
  <si>
    <t>Total Shots Opp</t>
  </si>
  <si>
    <t>Shots On Target Mpam</t>
  </si>
  <si>
    <t>Shots On Target Opp</t>
  </si>
  <si>
    <t>Shots Off Target Mpam</t>
  </si>
  <si>
    <t>Shots Off Target Opp</t>
  </si>
  <si>
    <t>Shots Blocked Mpam</t>
  </si>
  <si>
    <t>Shots Blocked Opp</t>
  </si>
  <si>
    <t>Inside the Box Mpam</t>
  </si>
  <si>
    <t>Inside the Box Opp</t>
  </si>
  <si>
    <t>Outside the Box Mpam</t>
  </si>
  <si>
    <t>Outside the Box Opp</t>
  </si>
  <si>
    <t>Big Chances Mpam</t>
  </si>
  <si>
    <t>Big Chances Opp</t>
  </si>
  <si>
    <t>GK Saves Mpam</t>
  </si>
  <si>
    <t>GK Saves Opp</t>
  </si>
  <si>
    <t>GOAL Mpam</t>
  </si>
  <si>
    <t>GOAL Opp</t>
  </si>
  <si>
    <t>ShotMap</t>
  </si>
  <si>
    <t>1st</t>
  </si>
  <si>
    <t>2nd</t>
  </si>
  <si>
    <t>Location</t>
  </si>
  <si>
    <t>ΣΑΚΑΛΑΚΗΣ</t>
  </si>
  <si>
    <t>ΚΑΡΑΓΙΑΝΝΙΔΗΣ</t>
  </si>
  <si>
    <t>ΠΑΡΛΑΚΟΓΛΟΥ</t>
  </si>
  <si>
    <t>GK</t>
  </si>
  <si>
    <t>CB</t>
  </si>
  <si>
    <t>CM</t>
  </si>
  <si>
    <t>AM</t>
  </si>
  <si>
    <t>CF</t>
  </si>
  <si>
    <t>Game ID</t>
  </si>
  <si>
    <t>Surface</t>
  </si>
  <si>
    <t>Πρωταθλημα</t>
  </si>
  <si>
    <t>ΣΕΦΑ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</si>
  <si>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</si>
  <si>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</si>
  <si>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</si>
  <si>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</si>
  <si>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</si>
  <si>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</si>
  <si>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</si>
  <si>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</si>
  <si>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</si>
  <si>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</si>
  <si>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</si>
  <si>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</si>
  <si>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</si>
  <si>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</si>
  <si>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</si>
  <si>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</si>
  <si>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</si>
  <si>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</si>
  <si>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</si>
  <si>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</si>
  <si>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</si>
  <si>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</si>
  <si>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</si>
  <si>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</si>
  <si>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</si>
  <si>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</si>
  <si>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</si>
  <si>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</si>
  <si>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</si>
  <si>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</si>
  <si>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</si>
  <si>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TOTAL POST-DUEL ACTIONS</t>
  </si>
  <si>
    <t>POST-DUEL ACTIONS SUCCESS</t>
  </si>
  <si>
    <t>Total Post-Duel Actions</t>
  </si>
  <si>
    <t>Positive Post-Duel Actions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</si>
  <si>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</si>
  <si>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</si>
  <si>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</si>
  <si>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</si>
  <si>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</si>
  <si>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</si>
  <si>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</si>
  <si>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</si>
  <si>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</si>
  <si>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</si>
  <si>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SECOND BALLS WON</t>
  </si>
  <si>
    <t>SECOND BALLS LOST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</si>
  <si>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</si>
  <si>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</si>
  <si>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</si>
  <si>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</si>
  <si>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</si>
  <si>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</si>
  <si>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</si>
  <si>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</si>
  <si>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</si>
  <si>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</si>
  <si>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ΠΑΝΑΓΙΩΤΟΠΟΥΛΟΣ</t>
  </si>
  <si>
    <t>ΡΙΣΚΟΣ</t>
  </si>
  <si>
    <t>ΚΥΡΑΝΑΣ</t>
  </si>
  <si>
    <t>ΕΜΜΑΝΟΥΗΛΙΔΗΣ</t>
  </si>
  <si>
    <t>Date</t>
  </si>
  <si>
    <t>Νικη Μεσημεριου</t>
  </si>
  <si>
    <t>Νικη</t>
  </si>
  <si>
    <t>Εκτος</t>
  </si>
  <si>
    <t>Χορτο</t>
  </si>
  <si>
    <t>ΘΕΟΔΩΡΙΔΗΣ</t>
  </si>
  <si>
    <t>ΑΛΕΞΙΟΥ</t>
  </si>
  <si>
    <t>ΔΑΝΙΔΗΣ</t>
  </si>
  <si>
    <t>ΔΑΡΑΗΣ</t>
  </si>
  <si>
    <t>ΜΑΡΝΕΡΣ</t>
  </si>
  <si>
    <t>ΚΑΚΑΤΑΤΣΙΟΣ</t>
  </si>
  <si>
    <t>Αλλαγη</t>
  </si>
  <si>
    <t>data:image/png;base64,iVBORw0KGgoAAAANSUhEUgAAAc4AAAEqCAYAAACcM7AkAAAAAXNSR0IArs4c6QAAAARnQU1BAACxjwv8YQUAAAAJcEhZcwAAEnQAABJ0Ad5mH3gAADFbSURBVHhe7d15fFTV/T7w5yRkIXtCdpKwhZ3IkiCy444LUEVRsIqCxGpbW8HiV1uX9tfa1qW2tlUM4IIiiIIKUgRkl0VI2PctJIEkBBLIQiDr+f1xQ3LvyTY3mUlmJs/79WqZ+ZyTIYPJfebce+45Ij4+XiI5EURERNSIhCSI6uCctxuYk6x2IaJWIOZPgOwfBiQkqU1E1BqGxwD/GgskJMFFbSMiIqL6MTiJiIhMYHASERGZwOAkIiIygcFJRERkAoOTiIjIBAYnERGRCQxOIiIiExicREREJjA4iYiITGBwEhERmcDgJCIiMoHBSUREZAKDk4iIyAQGJxERkQkMTiIiIhMYnERERCYwOImIiExgcBIREZnA4CQiIjKBwUlERGQCg5OIiMgEBicREZEJDE4iIiITGJxEREQmMDiJiIhMYHASERGZwOAkIiIygcFJRERkAoOTiIjIBAYnERGRCQxOIiIiExicREREJjA4iYiITGBwEhERmcDgJCIiMoHBSUREZAKDk4iIyAQGJxERkQkMTiIiIhMYnERERCYwOImIiExgcBIREZnA4CQiIjKBwUlERGQCg5OIiMgEBicREZEJDE4iIiITGJxEREQmMDiJiIhMYHASERGZwOAkIiIygcFJRERkAoOTiIjIBAYnERGRCQxOIiIiExicREREJjA4iYiITBDxQwZL7HhSrZNC/H0r5JeH1DKRTYj5EyD7hwEJSWoTkU2ISX0hZw9Xy6RKSIKIj4+XSE6ESMuHXH1S7UIAkBjP4KQWxeCkliYe7Av5wnAgKUVtIgAYGg3EhVYFZ9WIU2xOh5z5vdqVAIidM4A3tzE4qcUwOKmliUl9gVnDIIfMVZsIAGYOA6b0AxKSeI2TiIjIDAYnERGRCQxOIiIiExicREREJjA4iYiITGBwEhERmcDgJCIiMoHBSUREZAKDk4iIyAQGJxERkQkMTiIiIhMYnERERCYwOImIiExgcBIREZnA4CQiIjKBwUlERGQCg5OIiMgEBicREZEJDE4iIiITGJxEREQmMDiJiIhMYHASERGZwOAkIiIygcFJRERkAoOTiIjIBAYnERGRCQxOIiIiExicREREJjA4iYiITGBwEhERmcDgJCIiMoHBSUREZAKDk4iIyAQGJxERkQkMTiIiIhMYnERERCYwOImIiExgcBIREZnA4CQiIjKBwUlERGQCg5OIiMgEBicREZEJDE4iIiITGJxEREQmiPghgyV2PAmxOR1y5vdqOwEQO2cAb26D/PKQ2kTUPN7uEKM6QQ6PBkK9gQBPwM8DCPbS2gtKgIISiIIS4Go5sOMs5NZ0IC0fKClXX42o6R7oA/zfCCAhSW1xHMmJasX6EpJqgtPmHPg/BoOTrEHcEA6ZEAE8M9hYLy4DtqRDZuQDl69B5JdAPjEA6BoIvPADhL8H4O8J6eUGjIwBYoOMX78tA3LHWeDzA4Y6kRliUl9g1jDIIXPVJseRnAhx4zzIykq1pfmGxwD/GgskJPFULVGLeGkk5Ifjq0NTHMuFeH0LkLgCctRHkL9fB8xJBhYfhFx1AqKwVPu6dachlx2B/GgP8N+dwMNfQYxbBPzyfxDLjgAA5LBoYOZQ4PufA/1C9X8rEdmAiI+Pl0hOBObt1n5xrUy4uEDufJIjTmpThHs74KsHISN9tcL6VOCldUC5ZZ+ExfwJkP3DzP3e3NsDeGU04CIAAOKldZBrTqm9iOrEEWcjOOIksg0xcyiw+QnIbdOAPdnAxCVa+M1ea3FoNtl3x4Eb52p/35PLIf9yi3bNZ82jgI+72puImojBSWQFYmQnIDkR8u7uEJ/uBxKSIF/dAKRdVru2jL3ZwOC5EHctBFafAjY+DiyaqPYioiZgcBI1V5gP5Dt3QlRIiPGLIeemqD1ajbxwBXh7G7DqJNC9A/DSSAhfD7UbEZngtMF5JbQfCiPiUd4+UG0iso5IX+1U6MopwCsbIIfMhSyumtRjb15eDwyZB4yNhdwwFeK9e9QeRGQhpwvOnH4PY9+ja3D0Zx/j+LgPsO/RtUgb/Qqka9Ov8Ui1QG2bi4B4dgiwfDLw5jbtmuL/Tqi97E9FJTDqI2DIPMjBkcD26cDEPmovasuENrGMGuZUwZk98AlkDHse5e2N97ld7DEeJ8b+01AzxUUAHu3UKrVRYt54yMf6A2cLgC8Oqs32r6ISeHol4OYKvDiCP9uk2ZUJ6QSJYJMZtQon+GfSlHmH4tzgX6pljQAKO96IC30nqS0Wk78dAvE5J1e0eRsfh+zRAeLFdcDPFqutjiM5E2LwXIj/7gK2TgOi/NQe1IaIzydCfvmgWnZIwsX2sWb7v6GF5EcNVUu1XI4ZqZYsdzwXskcHYMNUtYXail0zgKtlwIgPIdc6/v2RUkrIj/ZAzFgBfPMwMCxa7UJtwYap2rHteK7aQvVwmuAs9wxQS7Wop3BN2XhGu5YlhHaT7bieag9yVo/11yYBZRQAdy1UWx2e3JMFMekr4N27gJ0z1GZyUmJcT+3nWgjt2LbxjNqF6uE0welRmKmWavEoyFBL5iWuAADIV0erLeSsnh2i/fnEt2qL05Cn87SF5F0ExOCOajM5oepjWNUxjSznNMEZmLoOblcuqGWDoFOr1ZJ5x3OBKUuBolKetm0Ltk8HCkuA+78A8q+prU5F3vKJtuLQ+/fwmqez2zBVO4ZNWcpTtE3gNMEJWYmYbW+qVaBqdnXooS8QkLpBbW2a47nAmI8BXw9OGHJm/3tEm2hw8ydAer7a6pz2ZgP/b7N2zdPVeQ4PVEN8PhHw9dCOYQzNJnGq34yA1PXo+e00BKRtgku5NjrwunAMMVteR/TWOkK1uRKStIvqYzqrLeTopg4AQr0de8Hrpvr2KLD/PPDTk9rC1uQ8xnTWjllmNg+gWpwqOAHA5/x+dFs9CwM/HIH4uYPRe9kjCDmyTO1mPVmFwKujuYyZM+kTAvHMYOBMK60zaw+eX6P9+eeb1RZyUCLSD3h1tHbMomZxuuA0kC2w5s+4RYCvBySvdzqPBfdBugrggSVqS9uRdxV4P1k7pffkILWVHMzlzmOQOmsOTmy5D2lvdkVB1E1qF6eQn9YJZ0a9jBN3/wdpo15GfvQwtYtVOHdwthAxfjFQVArxwTi1iRyMWD4Z4lwhcNM8tantmb8buG0B8IsEtYUcyJkxr+LUHW8h91gPFJyLwsVe9+HE3f9BxtBZaleHljbqDzi5+k5c7DkOBdE34WKvCTh517tIHz5b7dpsDE4rkJkFEG9vh4yPUJvIwchIX8j/t8n2e2c6istVM4nv6Ka2kAPITHgKuT10H+h1J+Fy4iYjp99DNQUHljVoOi72+pn2RBrf54W+k3D+hp/XFKyAwWklcsUx7UFivNpEDkJ8MA6ipAJIbvye4DZl+nLg9VuBF0aoLWTncvpNVksGOX2dIzhz+j6slmoI679PBqcVifGLGZyO6rP7tTMGYz5WW2hfNkSFBB7kTiqO5GpgV1S4+ahlgxL/GItWXbNnJf4xDW8fKYFS3wiUeYWoLU3G4LQimVmg3VT82hi1iexdr2CgsASyrEJtIQC47wugUgKzh6stZKdEZXn1fewNEZXlasmhWPr9C2lZP0u4iKoRkojwVduoKVYcB+7twdtTHEmvYO3PT/erLVRFZhYA358E7uulNpGdal95Hu6+Dd964n3hMFxLi9SyQ3EvzIRHfrpaNmifexztrl5Sy+bEamudi8n94CKvn1pkcFrH29sAAHLh/WoL2avP7of4cA/w4R61hfRe2aDt4dmOJ6ocgVx4P8L771PLBmH7PlVLDil83wK1ZBBujffZXQtOOTkOLlxBwgayCoFIfhBxJPK9XWqJ6iByrgB/vVUtkz2K9EVI4E+ITH6/pqY7dRu97S0Enl5bU3BgwUe/Qced/1XLAICo7e8g6OQqtdx04xfxGqctiCnLtGuds2xz8y1Z0cyhEKW8rmmxX60Cbu6iVsnezBqm3Vs+ZRkids9H3y/uR9SOdxC271NEb3sTcQvvQehBB96IvUpB9FCcvPMd7HtsHc7HTYZ/1FmEHl6CsP2fInrb24hbNA5hB6y/FSCD0wZkYQlEShYE7+u0f3fFQq5PVatUD3k6Ty2RHRLxERApWZCFJQAAz/x0hO1fiKgd/0LowS/gfuW8+iUOJ6ffwzhx17+R32kkyj39Ud4+CPlno5DTZxLa551G6MFFcC/MUr/MKhictvLaRm0xZbJvge2BVzeqVWrMpL5qheyI7NEBeM15f66vBnZFxrDn1XK1tFEvWfX2ExWD00auf9Ij+yW83LUHFVwlyAyx8gTEU1yGz9458zEoL3asWjKQLm7I63aHWrYaBqetccsx+8VT6U2Tkgnp78HNru1VGzjmlAR0Uku1WNKnqRicNiQ2pUFMiVPLZCfkEwMgdp5Ty9QIuVxbXlJMG6g2kR0QU+KA746rZafieq1ALdXiWtJ4n+uKwgcgY+hMnLr9TaQPn93o7jEMThuSK45BDorQ9sEj+xLqDdwQBrnwgNpCFpJjY9UStTIR6Qc5KEJbiMWJ+Z/drpZqVN1y49dQH51zN/4ax8bPQ07cFFzucjMu9J2EE3f/B+kjX1S7VmNw2tLGMwAAeW93tYVamRgRoz3YnqE2kaXcXdUKtbLqY02Kc29UEJC6HgGp69WyRgIdji2Hb2aK2lLLhd4TkT1gap1LE17oPRFZA6epZYDB2UK4GILdkdH+2oPKFtjs3Bm1xCbxZJroWbV8ZBvQbe1sBB9Zpj3R/TiGHVyEzpv+VFNoQE6/ql1V6vpxFkBO3CNqFWBwtpB7e6gVam0jotUKmSB2Z6slsgNytO0mxNijTlteR9zCu9FtzUzErn4O/R/9FNE73lG71ancwx/XArvUOdoEtDAt96zqo2BwUtvUybG3Umptcr/j30BPzsH9Sg4C0jbDP20L2rW/qjbXS6DqNrTG7kaTtTswOKltcqnvYyZZ5Jr1tmgiag2uJYXwyj1W/4hTAG5XcuB5OU1tYXASURNcvqZWiBxO2P7P1FINCYTvr3tXFQYnEZmXrwVn9epLRA4o6MQqdPzp3ZqCbpJQ+J4PEXpgUU1Bh8FJRE3nWt95LiLHEL5vAfoumYiOu/6LkKNLEZnyAXovfQQdd72ndq3G4CQi04SXm/bgSpnaRORwPC+nIXzPR4jZ8ldEpMzVrn02gMFJRKbJoPban5W1ZxwSOTsGJ7VJoqKuO57JYlXBSdQWMTipbTpn+QLQVJvoH66WiNoMBmcLELttsws5NZ1Mz1dLZAa3FLNPx3PVis3lRw9DxtBZOHPzH5E1cBpKfDuqXZwOg7MFyGTnXnDZEYmtVYu7e7RTm8gC0t9DLZE9qNpYoqWk3vJnnLzrXeTETUZu93uQOfgZHJz8LS70vl/t6lQYnLZUtaGs+O6E2kKt7cd07c+hUWoLWaq0Qq1QK6s+1sRHqk1WlzF8NvJix6plAED6yJdQ2HGwWnYaDE5b6tEBACAzeT3N3sisQu3AX/XfiJqAp7vtTvWxJj5CbbKqMq9g5PSdpJYNcvpW7TzihBictnRvD2DRQbVK9uLzAxCPD1Cr1AgRU7VA/qf71SayB98dt/mOTMUhvdVSLUXh/dWS02Bw2lKkL/D2NrVK9iIpBZKbMZs3fSBEZiGw8rjaQvbgtY3cA9jGGJw2IiI569DuVV2jEy78NTBD3tMdck6yWiY7I3xtN4HL68IRtVSLT/Y+teQ0eMSwFRtfYyArSrD9RApnI36smpVM9qtqcqItuBVfROihJWrZIPTQYrXkNBicNiB8PSBn3sTrmw5AfLgH8q3b1TLVp+oUoCzgtmJ2bdFByJk32XTUGb31DQSd/F4tAwBitrwO33O71LLTYHDagFx4P+DrweubDkC+twu4vmA5NW7+eIg1p9Qq2Zu3twG+HtqxyIa6rP8DYlc9i9ADi9DhxEpE7noP/RZNQMiRZWpXp+KC5ES1Rs0V6QtkFapVsldSAr9IUKtUlxBvyFc2qFWyR1mFLTJJyD9jG6K3v43OG15FxJ4P4VF4Tu3iXJZP5ojT2q5PChI8TeswxOZ0YEocN2VuhIj21x6Uc0cUh7BCm/XMiYrW54KEJACA3M1l4axBLrwP+O445OcH1CayU3LWasDLDXLlZLWJrgv3gVw6CYI/144jKUU7Fi28T22hplh1Uvtz/CKOOK1JRPpp1zZf26g2kb3bdQ7w9YBw432ddRHfTgZcBOQ/tqtNZM9e26j9XHPUaVUMTmt6dTRQVKpWyRHM2wMAkI8572onzSFdBfcwdVRFpdosf7IaBqcVyfgIiHGL1DI5gpRM4J7Pgac5SUgllk+GyLkCOeojtYkcgBi3yKb3dLZFDE4rEJF+wIapELuzIAtL1GZyFOeLINLygR8e4y0q10X6Qkb6Qt69ECgpV1vJAcjCEm2fzg1TbXpfZ1vC4LQCufxh7Z6pxBVqEzkYOfELIMAT2PyE2tT2zBwKLJ8M/Gen2kKOZspS7Ri1YaraQk3A4Gyuqm2pxO4stYUc1fV7cLsGqi1ty5Q47c8FzrvmaFtSfYziVnrNxuBsrs8nAs+v4WjTmYxbBPGXLcCSB9WWNkMsuA+olBBPfAtUclKQM5CJK4Dn12jHLGoWBmdzJCdq1w42nlFbyMHJr48AqZeA7dPVJqcnxvWE7BMC3DgX8sB5tZkc2cYz2jGLK8Y1i8MFZ3Fwb2QNnI6MYc8jJ24yyrxD1C4to2qWmnjqO7WFnMWvVwFurkDPYLXFqcmXR0GcuqSWyUlUH7M407bJHCo4zw59Dkfu/xSZg59GTr+HkXHTLByYshIXe9t2IeNaNkwF3roDmLKUs2idWXYR8ORyYOH9wKpH1FanI3oEAz9OA66UQj70pdpMTkIWlmiThd66QzuWkWkOE5xZA6fjfD/l4CUAKVyQNvIlFEQPM7bZyoap2kocf9yknfIg57Y3G3hnBxDiDXz9kNrqPHp0gPz8fgh3V+DmT9RWcjbHc7VjmK8Hw7MJHCI4pXBB9oCpgFBbqgjgfJxtRwRiTGftuoAQQEIS5IpjahdyVgv3AwlJQJR2v67TGd1ZmzAyaw3kjXPVVnJScsUx7edaCCA5UTvGkUUcIjiLQ/uh0t1LLdeQQGHkILVqVfL6FG7Onm27fr9e+4R+U5Ta4tjeuh2iuAzYxElubVLVMa36GEeNcojglC6uQCMz4qWw8eLcx3Mhbv6kyadnK928UNDxRuRHD0OZd6jaTI5gzSlg6jfAf+7Wzj74OPY2ZGLhRO19ZBdxOb22rOrYJnKK1Raqh0MEZ/uLjZ8W9cmx4f6XlRLi66NNngiUmfAL7H18I07c8x5O3vUu9j/yP6SNfhlSOMQ/P+kdyoEY9iHwzVFg4+PAxD5qD/vnIoBdMyC7B0F8kAJwfeU2TxaWAB/vgeBWqxZxiCO3a1kxwg58rj2pa+QpgZBDS9Sq1dR3adUSGUNnImvQk5DKP/XFnhNw6s53DDVyDLK0HPjzZogHvwReHKGN2hxhVxXPdhA7ZwA7Z0AcyNHu05ybovaitkzWdYAllUMEJwBEbf8Hgk6tqTPFIncnIejk92q51RV36ImcuCnakzq+7/yY4cjtfo9aJgchUy9BrEvVnjw7BCIuTO1iV8SyhyBdtB9E+eRytZmILOQwwQkAXda9hG5rZyP42HL4p21B6IFF6PXtNESkJKld7UJBdCN74EmgIGa4Wq3lWmBXZAybhWMTPsTxcUnIHPw0ytsHqd2oFcgX1mozE5NSID+aAKyfCjxlR1uThfsAL1SNij3bQdw4T/t+uYweUZM5VHACQEDqenTa9CfErn4O0dvfhvf5/WoXu1Hu4a+WjARQ7tlwn7zYsTj04BLk9JuMorAbUBgxCFkDp+PQA4tRFDFQ7U6tJSlFC6S92cCTA7Xp/a+Mhohu+L+vrYg+ocCuGcB3U4D7ekHc9wXkLZ9AVvIiFlFzOVxwOhLPgoy6r8nqeFxOU0vVSvyikHrzn9QyAKC8fRDOjHpFLVNrm7ka4qGlEJUScnxPyGWTICb1VXvZjIj0Az6fCLngZ9r9eUsOAeMXQWbkq12JqIkYnDYUeGotXMuK1LJBQ9dmc3uOBxqYeVsSEI3c7nerZWpl8nSetpDALZ9AvLENcvZw7VTpzhnAZ/drCw5YiQjygnhpJPDVJCA5Udsb9mIx8MoGbQT8xlYg54r6ZUS1yEoJ6VrHZAwHIweFA/GR1v9fbM3lMREfHy+RnAjM2w3MSTZ8A9YgXFwgdz6p/RI7KLFzBvDmNsgvD6lNjcrrdidSb/2LNvLU/0xKIDLlfUTsnq8rGp0c+0/kx4xQywZh+z5F1E//Ustkj+7pAcSFAg8Yb2ERxWXAlnRtVHj5GkR+CeQTA7T9QF/4AcLfA/D3hPRyA0bGGH6BAQBHL2p7LX60F/LSVWMbkYXEpL7ArGGQQxx49aiW2PUlIUkXnLbmwMGJ5ETgbz8CXx1WWyxSFNYf5294BEWRCah0aQfvnEMIOfwlAlPXq10NTt/+d1zqcqtaNojYPQ+RyXPUMjkKb3eIUZ0gh0cDYd6AvyeEvydkh/Zae0EJUFACUVACXC2H/OksxPazkKcvASXl6qsRNZlTBKctzRwGTOlnDE6Rlg+5+qTa1XqSHPh+seREiL9vbdKIszku9J2E9GGz67yV5bruK5+B37mdapkcnJg/AbJ/mGN/4CSHwuBshCE4hwyW2PEkxOZ0yJn1X29ry5pzqra5jkxciOIOPdUyACAgdQO6rf2dWiYnwOCklsbgbIQuOOufeUJ2oeua38E3a7daRuCptei67kW1TERENsbgtHMehZnosSIR3Vf+Eh1/ehdR2/+BXt8+ga7rXoSo5DUuIqKWxuB0EH7nfkL4vgUIO/A5vM8fUJuJiKiFMDiJiIhMYHASERGZwOAkIiIygcFJRERkAoOTiIjIBAYnERGRCQxOIiKyW8UdeqIo7AZUuPuqTa2GwUlERHbnQp8HsP+R/+HIxIU4NuFD7H18A9JHvtTgVostpfW/AyIiskipdxgu9r4P2QOnIS/2TkhXN7WLUzjf/zGkj/g/lHmHGuoXet+PE2NbfxtFBicRkQPIHjgNBx5ZibSRv8e5wc8g9Za/YP+UlbjU9Xa1q0Mr8wrG2SHPquVqBdFDcaHPRLXcohicRER2LqffQzg3+Bm1jHKvIJy+7a8oihikNlldpZsXsvtPxfF75+Dgw9/g4EPLcGrsO1YPsYLoYWqplsudRqulFsXgJCKyc1kDp6sljdT+l93/MbXFqq6E3YBDk77EuSG/RmFkAkr8olDiH4PLMSORPvxFHP3ZxyjzDlG/rEnKPAPVUi3lXh3UUoticBIR2bErIX1Q3j5ILdcQQEHHIWrVqlLH/BGl3mFqWeMCXAnphzOjXlZbmsSjKEst1eJRcFYttSgGJxGRHZOuHmqpFunqBilc1bJVXOw5ASX+0Wq5hqwK7+hhKAq7QW01LSB1Pdyu5qnlGhIIPLlarbYoBicRkR3zvHRKLdXilXscQlaoZasoDu6llup1NbinWjJNVJYjeusbNQWpbwVCjnyFwNT1xmILY3ASEdmxdiUFCD6yrFaA6AUfXqqWrEZUlqulepnp25DA0z+gx4pE+Gdsrf5A0P7SKURvfQMxP/5N7d7iGJxERHau049/g9/ZbcZi1cSg0IOLEXLEdsHpc35vg6Gt5529Xy01mW/WbsSu+g0GzRuCQfOHoc+XDyH00BK1W6tgcBIR2TtZie6rnkWnLa/DP30LvC8cRtDpNei2Ziait72l9raqwNPr4Ju9Wy3X0uHYcrS34LRyU4iKUrXUqhicREQOIvjIMsR+/xx6ff0Yuqx7CQFpm9UuNtFl3UvwPbdLeyLUViDoxCp03vQntey0GJxERNQgt+KL6LHyacR+/xwids+Hf9oWBJzZiMiUD9BzRSK6bLDOrSiOgsFJREQW8U/fgshd7yN29XPotuZ5RKTMhU9W46dxnQ2Dk4iIyAQGJxERkQkMTiIiIhMYnERERCYwOImIiExgcBIREZnA4CQiIjKBwUlERGQCg5OIiMgEBicREZEJDE4iIiITGJxEREQmMDiJiIhMYHASERGZwOAkIiIygcFJRERkAoOTiIjIBAYnERGRCQxOIiIiE0R8fLxEciJEWj7k6pNqOwFAYjzE37dCfnlIbSGyCTF/AmT/MCAhSW0isgnxYF/IF4YDSSlqEwHA0GggLhRISIKIHzJYYseTahdSMDipJTE4qaWJSX0hZw9Xy6RKSKoZcWLebmBOstqFiFoBg5PIzgyPAf41FkhI4jVOIiIiMxicREREJjA4iUzy8ahAQPtyBHmVIdS3FBH+pQjxKYNHu0q1q83c0PEKbuh4RS0TUQvgNU4iCzwUn4PR3fMxIKoI7q71B2RphQuKSlxRdM0FOUXuWLonBGuPBqrdGtXQNc5xcbl49e4zAIDVR4Lw++Vd1C6NeuXuNIyPu4isfHd88GMkvjvYQe1CRHq8xklkuWlDs/G72zJwY6eCBkMTANxdKxHkVYaYoBIkxBTirxNO428TTiM25KratcnG9smrfnxn7zx07nDN0N6YGcOzMD7uIgAgwr8Ur91zBrf0uKR2I6J6MDjJLr169xkkv5CCeY8cQ5/w5p2SjA25ilGxl9Enolhtssgjg8+rJVNu63UJ7z18An6eFWpTk/h5lhue64PUEiNj89USJsVfUEv1CvEpw5TBORjWtUBtImoTGJxkdxKHZ2JcXC4AYEBUEV675wyCvI1hYanE4ZlYPO0w/jHxFBY8dgQv3J6udmmQi5Dwb1/zd6fleWLzSX9sOB6AdccCsfZoIL4/HIR1xwKxI9UP+8/54NTF9sjKdze8TpBXGSYOtDycGhLuV2p43ifc3AeCMF/j1wNAQkwhogJK1HItPcOK8dWMQ5h5SwbeffAEpiQ070MFkSNicJLdGRRTZHjeNfgafjnqnKFmiedvy0DiiCxD7cFBF3BPPy2ULVEpBdLzPKqfh/iUYubSWPzu62544ZuuePHbrvjDii544Zuu+NWS7pj2WU88NL8Pxs2Jw7xtEYbXGhBlfF9NEe5XikAv44eIPhHmRuQVlUItAQDu6N3wyFUI4MU70uHtXjNyvr03T/FS28PgJLsT4lOmljDhhoumAm/WrRl4OD5HLQMAJtxg+esAwJHz3tWPvdwrEVrHiK0uc7ZE4tzlmtAd3KkQLkIa+pjVNbj2tdKA9uW1RqENKS6t+9e+V3jt19Z74fZ09Is0hrQlo1QiZ1P3bxBRK6ovmGbdmoGuwY1PhLm15yVMTjCG5umLntWP1YN/Y07ktDc8T1BGxA3ZneFT/djdtRJ9m3id9brOHeoOqgj/uv/N6tLOtSa8L19tV/24d1j9/y539c3DA3Wcam7v1vBkKSJnxOAku1NaXvNjeey8V/VjP88KPH9rw9co/Twr8OwY42nd7w52wJHsmlGju2slBkZbHn6Z+TWjRgCICqw7vOpyrcz4K1ZWUfdpUktFB9T9wSHUx/Lg7OBdM6LXv7cI/1JE1/HeQnzK8OyYs2oZAOCmC2GitoLBSXanVBcubsrtHzd2LsTMWzIMNb2Zt2ago+704emLnnh9dScc1QUwAMSZGHXqr3ECQLhv7XCpj350BwDl9VxftFS3kLqDM8S39untuvh4VBhGiZeKa0acADCsa+0Zt7NuzTCcPj+Sbfy3JGprGJxkd6QyiHnrh2jD8ymDc+q8BeO2Xpdwr3Id9N+bolBaLnAoq2bECQC9wiw/ZZqaW3OaFwA6Blg+ulNHZKXlTQ9O93YSA6IK1TIAINTC4FT7qcE5tIvxFpMpg3NwWy/jBKAS3RmBSg44qQ1icJLdaedSczSuqBRYnBKKb/cHG/o8PTITXu7G0ag6GWjBT+HYctIfALD/nDeulLpWt5lZNKCk3AWZuttL6jqdWR/1GuDVsprvwayEmEK41JO7wbrTrw1R74m9UOhmmMA0olt+9f2mHQNK8BvlFG3Sj8aZwhL1fENETozBSXZHP0q7fmrzz993wvGcmlOEHQNK8Jubaw7q9/bLNdzukZbniXc3dqx+DgDnC9yqH+uv81ni7KWacAn1LTXcktEQXw/jrSN5ygjPjLjI+q/LBtcxE7ku6iIQh7K8sfW0n6F2S09thDklIQeuug8xO1L9kLQ1EoJZSW0cg5Psjj44r99zKCXw/pZIXS9g4oAL1UvFPaSMNr9ICTU8B4Bi3YjT0uC7Tp0gZGnw+upWCyq85lrvPZSWUGcDX9VNPGpsKcDr1BHn7gwfbE/VRuXXDetagKiAklr/ptc/iOjfgXpanagtYHCS3dEHp34W6paT/lisBOIvRmZiyuAc9NatnnPsvBeW7A4x9AOAYt1pUk+3ylrXHxuiH3kBQDsLz7jqT9U25zSti5Do37FmxJmZ726YfezezrL3og/fY+e9UHCtHbac9EfulZrR+OjYy5gy2Bia3+4Prh7xC929qAxOaosYnGRXhDCGVIU0jtD+sS7KcE9m1+Br+PVo43W4L1JqhyYAFF0z/rjrR4ON8fEw9tXf/9gS7uxzyXBNd+9ZX8Ps43YujY841RHrMd2p7+vXglH1IWHSoPpH8IYRp+4xUVvB4CS7oo4Cy5X7HiulwBzllK3+a3ak+mH5AeNEouuulRtHfGoYNkRdoD3vimXBaa3rgSO6GW8T+fGUv+kRZxdlQlSG7rrtNuU6p943+4JxXFkE4jqOOKktYnCSXXFTRk51LRiw/nhgrYk/qBoFJm01hmpDzBz0e4TWnApOyzPenmIpE3+dgauLxOjYy9XPC665Ys2RQMM9oe4WnHaOCTQGZ1puTXD+eDqg3uuvKw8Z9+rUfxjgrFpqixicZFfUEWddwYmqW01e/q4LUtJ9kZXvjs0nA/DM4u7Yf854v6aeuphCiYX3VA7rWmA4rasupmBrd/a+BE/dtdLNJwMA5Z5Q9b3VRb2N5nRuzSiytFxgV5qvoR0Ajud4YY9u2UBYcRRN5KgYnGRX1OCsVK5x6q06FISnFvXAuDlxmLm0m+F2lbq4Kgus6091NmRwJ+OiAMl1BIwtjehWM9qE7npkVkHNvaWBXuWN3puqXwj+apkLzigLO/xwLNDwHAC+rGOSlX6oXtl4XhM5HcuOHEQtxNpL1Omp1wH1k2sa0r+jcVLN9tT6rwdaW7hfKW7uUROcl6+2w7qqgDt5wfhBQV31R6UfNRdcq32N9pt9wVh9JKj6+aYTAfh6X+3rxcZTtURtD4OT2gx1NKtfOq4+Xu4VuEF3G8jxHC9k60Z6ZjRldPbYkPOG7/v6aVoA2JFqHPkOiq57Ob7r2rvVBOfVerYW+/3yLvjr6hj8dXUMZi3rpjbXwbIPH0TOpO7fHqJWooaZOkpsDn0AVcr6N3TWG9zJGEYHMuu/hmpt3fPP1rot5KvdNSPA3Rm+yCmsuf9yaJeCWh8O9PTXSfWLJ6iW7g3B0r11nKKtol/2z8wEKyJnUf9vD1ErKCkzhpk6y7Y59BNoLL2+2S/CeJr2YAsG58+PrTU8X7Y3GId126MBwM60mtPGnm6VDW727a27D1Td7swMnqqltq7pvz1ENnDNhiNO/eLxll7f7BRknHCjzjBtjGhitAy8moZ70nYYap/tCjc8B4CNx2tO3QLAmO7GiUTXubeThoUl1JG9OTWvwxEntUXN+e0hsrqKSmE4hWrpGqyW0IdwWYVlP/oBXjXXBSsqBc7qdhKxpSmXthmef7s/GLNvS8f63+zDml/twzdPHcTCx49gXFwu8nTL5Y3olo8o3X6k16m39aiTsMzQvxKDk9oiy44eRC1If39lQ9fszNKf9rV0X0x9cKvhYysjY/MxpuhI9fMrpa4orwRu6lIAP89yBHmXIyqgBD3DijG6+2UEKQvO39W39l6lUrmmq96aY4bhPk7e1EltEIOT7E6pbjTo3s56I079rS0eFr6uPrj135ctTU4wTghauCsMBSbWxn3ipmz0rGOjbv26v67NeCvMSmrrmvHrQ2Qb+ok7Hla8xplXXHNKM8i73KLRrH5CUVNGnGZD5s7eebhRt+DC+UJ3zNsajve3ROK7gx1wJNsLJy+0R1a+e533YqLqw8ard6WpZcP3r+72YoY1T9UOii7EkumHseZX+zDvkWP47c1ncUuPS6bWESZqaQxOsjv6iTuWLCVnKXVh9lDfmpV06qMPV0uX6KuPJRmjjjY/3xWKSilQKQVeW9kZj37SGw9/2Afj5sThln/1xx//1xk76liQIaSO96Y/VaufKGVec77W6NEbz6Nr8FUEeZdjQFQRfn7jebxx32ls/O1efPToUSQOz0RsyFX1y4haFYOT7I6tRpyXdCNOAAjxaXwzam8P69zCYYnpw7IMW3+d9ovAwl1hhj6qFQc64FdLumPS/L7I141AA73KDft3QjlV3ZwRp15lM19Gv0eqKi7yChJHZGHxtMOY98gxTB2SjW7BDFFqfbY9EhA1gXFykBVHnMXGEWcHZVKNqkdoMYK8avrkFDZtxaDGxARew7Sh2Xh6ZKahvrj7rYbnDTl90ROLk42bfN+kLMFXrjv76dKMyUHWXADh7R+isPlkgGGP1boMiCrCr8ecwxfTD2PpjEP4w9g03Nsv16IPP0TWxuAku5NVUHPLh59nRaOLl1tKHXF28C43PFc9M8oYZPrdRCylX3j+mLKrSq+wYnz86FEsSzyEZ0adM7Rt8emJZV1HGmqN+UZZV1ZdIF9/qtaS67v1MV63bd7p67xiN8xc2g2T5vfF3e/F4eXvumDJ7hAcya5/wf5OQdfws/4X8do9Z7Dql/uxYOpRPDUiE30iak+IIrIFBifZHXX0caOy7F1T5SrXOAN1o8m66AOitMIFKw4Y96W0xN/XRGPTiQBsOhGAN9bGGNqeHpVpODV7XUq6L/4Q/oBabtSFIjfM/ror9p71wXcHO2D+NuOCCbY4VWudV9HkFLpj1aEgvLE2Bo9+0htTPuqDuVsjGgxRAOgTfgUzhmdhwWNH8OnUI3hm1Lk6/12JrIXBSXZnd4Zx8fJe4dYZSeTqFgpA1XXAhnzwYyQOZXnjUJY3XvimK07kmB9x5hW7Ydaybpi1rBsuFBn//rqsPx6IWcu6odilaQstrD8eiCcX9sRrKzvXGnGm6rYRS2/iZtyqpixcb6njOe3xwY+RePST3nji015I2hqJnWl+DV5X7R1ejGlDs/Hxo0fx+ROH8cwojkTJ+hicZHdS0n0MB8c+4dYZPZy6YAy+UN+GR5yHs7wwdUEvTF3Qq3oPTGt6f3MkDmZqwfzR9nDM+LwnZn/dFUUl9U+YaY45Wzpi/zkfHM72xnubI9Vmix3XfYBobA9UazmQ6Y2kHyPwzOLuGPGPQZi1rBsW7gprcO3gHqFXMW2oNhJdMv0Q/u+OdNze65Lajcg0ER8fL5GcCMzbDcxJVtuJWsWb952q3odyR6offrWku9qlSTY9txfe7tosmWPnvfDIx73VLnZBzJ8A2T8MSEhSm1qdn2c5/nBXOgDgjbXRuGjBSNqWYkOuYlTsZQzvVlBrJnFd9p71wac7w7DphHGdX6IGDY8B/jUWSEjiiJPs0/tbIrEnwwf7z/ngP5s6qs1Ntju9ZpH29EtNOx3a1hVca4fZX3fF7K+7tnpoAsDJC+3x4fYITP+sJx6Y1xf/3tgRe8/Wvxj/gKgivH3/KSyYehS96lhhiagxHHFSmxLhX4rZt6VDAvjzqk6G1YTsiTVGnKL6/5S5r8J4H0lD/fTP9f0MX69MrNU/r36ovBakNBTq62f4O5V+jb2Hzh2uYXi3fAyMLsKAekaiKem++O3S2Ho39iaqphtxMjjJar57+gBQz0FMY5zVYckBVj1wVh8sG+lX3+vpD9iGegOvp/Zr7IANNBwmFr0HVxdtS7IK7fut7z2gofdKFrn3/ThkF9jmHl1yIgxOsoXkF1LUEpHdY3CSRXiNk4hIw1E6mcURJ1nNt08drH5cfTJTGk/QSn2j/vxlA/0MJ3iVfhCizn7qUnD65/rvTf89GL43S98DdK/RQD/Dt2PJe4gNArzcIPedr+5W7+sph/763qvxa5R/Iwveg+Gh+np1vYeqJ/W9ntqvvv8Whq83fJHy/QmBdi4SHbzKEOBVjiCvMrR3b/hG09wrbpg4t6/NbgEiJ8JTtUT2zRqTg5xdhH8punS4is4dShATeA0xQSWGLdkaUimBg5k++Pva6FpLIRLVicFJZN8YnEbhfqW4tecldAq6hq7B19Ap6FqjKz+pDmZ6Y+tpf6Sk+2DfOR/D2r1EjeI1TiJyBAOji/Dq3Wfw3dMH8NwtZ3H/gIsYEFVkUWhWSmDbaX+8u7EjpnzUB49/2gtzt0Zgd4YvQ5OahcFJRHbnjt55+PekE5g75RjGxeWqzfVKy/PE0r0hePHbrhj5j4F49stYLPgp3LBMIFFz8VQtkR1qi6dqQ31LcU+/PNzeKw89QhvesDotzxPpeR7IuOyJM7keSMvzxImc9ijQbeZNZFW8xklk39pScMZFXsGkQTm4q2+e2lStrEJg+YFgfH84CMfOe6GYK/1QS+M1TiJqbUHe5fjTvan46NGj9Ybmucse+ODHSNz13xvw19Ux2JPhw9CkVsefQCJqcUIAi6cdxt31BGZyui/+8n0nTPigH+ZujcDlqzwFS/aDwUlELW507GUEeRn3Qy2rEPgiJRTTP+uJXyzqga/3BRvaiewFg5OIWtzGEwE4kq0tPFApgc92hmH8nDi8+UM09p2rf0swInvA4CSiVvHoJ70x/bOeGPPPAfjnhihcsIO9PYksweAkolaz75wPiku5Tiw5FgYnERGRCTX3cRIREVHDqhdAiPRVm4iIiEiVWVgVnERERGSR/w9tFhMJVXy/KQAAAABJRU5ErkJggg==</t>
  </si>
  <si>
    <t>data:image/png;base64,iVBORw0KGgoAAAANSUhEUgAAAVsAAADfCAYAAABYmXCXAAAAAXNSR0IArs4c6QAAAARnQU1BAACxjwv8YQUAAAAJcEhZcwAAEnQAABJ0Ad5mH3gAACcVSURBVHhe7d15fFTV3T/wz52Z7CSBbJAEwhbCLksiCIoCouASUawoKvK44fKz9lGeauvTPtpq61ZrtUo1KiBaARE3QKm2IrIaAoisCWtYsidk32fu7487mbn3TCaZLHMzy+f9euVF5ntOSAh3PnPn3HPOlVJTU2VkLYa0Nx9E3kCeGM/jlbyGPDEeSMuA1BK2SMsQ+xB5Jh6v5E2sx6tBrBMRUfdj2BIR6YBhS0SkA4YtEZEOGLZERDpg2BIR6YBhS0SkA4YtEZEOGLZERDpg2BIR6YBhS0RuV5k4CWem/RanZj6H4pHzxGa/wLAlIrcqGrsAx65diuKRN6MseQ7OTHsKx2f/Vezm8xi2ROQ2TSHRODtlCSRLo60myWZUDLwcJSNv0vT1dQxbInKb2tiRgATIxkBbTZaMAIDqfhNUPX0fw5aI3MbQVAvIYlVhaKwWSz6NYUtEbhOevxdBFWcByV4zmJUhhT6nN9uLfoBhS0RuNfi7/0VQ+TnbY4sxEAN2/AXh53dr+vk6hi0RuVVY8WGMWXMjUjY8gORNj+GiD2cj7uBqsZvPY9gSkS7C8/Yg8sxWBNSWik1+gWFLRKQDhi0RkQ4YtkREOmDYEhHpgGFLRKQDhi0RkQ4YtkREOmDYEhHpgGFLRKQDhi0RkQ4YtkREOmDYEhHpgGFLRKQDhi0RkQ4YtkREOmDYEhHpgGFLRKQDhi0RkQ4YtkREOmDYEhHpgGFLRKQDhi0RkQ4YtkREOmDYEhHpQEpNTZWRtVis+wzpxe2Q1x4Sy+TNshYDaRlilbyYNH805CcuFcu+Iy1DFbYZe8Rm77c4lWHrixi2Pke6ZTTkJy/12RzShq0PHrxS5v3AyzsYtr7GR49XfybNHw0smQp58jtik/ezHq8csyUi0gHDlohIBwxbIiIdMGyJSBfNQZFoDOsrlv0Gw5aI3Ko5uDdOzHkV+xf9Bwfu2IiDt32OigFTxW4+j2FLRG51asYfUZ40zfa4ITwRx695HXV9hmr6+TqGLRG5TU3saFQOmArJYrYXJQkAUJZynb3mBxi2ROQ2TaHRAADZYNQ2SPC78VuGLRG5TXB5rlhSyEBIaY5Y9WkMWyJym+CKXMQdWKU8sFhswwlBVXmIPbJO29nHMWyJyK0G7HwFA3b+FaGl2Qiszkfs4U8w/Mv7YGysFrv6NIYtEbld3IGPMPKzhRiz+kYkbXsBATVFYhefx7AlItIBw5aISAcMWyIiHTBsiYh0wLAlItIBw5aISAcMWyIiHTBsichljeHxqBgwFTWxo8QmagfDlohckpf2IA7cth7Hr3kdR29aiey5y9EUGiN2IycYtkTUrtKUdORPvA+AxVar7jsWZ6b9VtOPnGPYElG7ypLnALIMSPbIkCzNKB94hd9tldhZDFsialdzULiyL6KKbDABACyBoZo6tY5hS0TtCs/L0pzVAoBksSCgthjBF05p6tQ6hi0Rtavf/pUILj+jqckGA/rvfFVTI+cYtkTULlN9OUZ8thCJu5ei9+nNiD20FiO+uAdRJ74Ru5ITDFsicomxqQb99i3D0G9+jaTtLyKs8GexC7XBY8PWYgqGOShcLBMReSWPC9vm4D44NeNZ7LtnG35atBk56W+jJna02I2IyKt4XNgen/MqyoZdA8ncBMliRlV8KnKu/weaQmPFrkREXsOjwrYqIQ01cWMAALIxwHaveUtAKEqHXSP0JiLyHh4Vto1hcWLJpjE8QSwRka+QAdkoidWetTi1ez6spNTUVBlZizXfo0vSMsSKy2r6jsXRucvFMgBgwPaXEHfoY7HcJinzfuDlHZDXHhKbyJPdMwF4+GLbQ6m2CfJHB4DyekgVDZCfnQE8+W9IkUFAZDDk2UOB5Ch7/x1ngb9nQj5WaquRZ5PmjwaWTIU8+R2xqedkLYY06V3IFvt+EJ2StRhIy1CF7QMbxC4dIwF46/ouhS0AnJz1Ii4MuRKSbIFsXbESVHEWo9bdBkNzg9i9bVmLgRe2AZ8cFlvI06QlAM9fCfQJATLPA+/vB348J/ZSWA/eVkUEAf81HlgwBggwQlq5H/LrP4q9yMP4Q9jahxH25HXpQ9pboPn7O+PCkFkILT6EPqf+DVNtKYwNFYjJ/hIpGx7seNACkCwyJMnD3pqQ1n0TlYPxreuBf2QpIfrwRudB257KBuD1H4Ep7wGzP4Q8dYDypPligdiTSFceMWbbFBqLw7eswclZL+D85EdxYfAsBFYXYMzqmzBwyx8RWFMofgl5OWnjHUrIrj6oBGxaBvDpEbFb15TWArd9AqRlQJ67Cth6t/I9R3APVtKfR4Ttucm/RF2foZpaTd+xyJv0iKZG3k8KMCqBV1itBGx1o9jFfaYth7R4A/DhPGDuCLGVyK08ImwvJM+BZGkSyyhNniOWyJtNHQB5572QZq6EfM8XYqsu5L15Ssj//nLgqzvEZiK36fmwlQyQJUncKtOqa+OtskECgpQ9N6lnScvmAq9fA8xfC7myXmzWX1oGEGg9y6aetzvP86Z+AV2/OKbS82ErW9DnxLeQjQFiC6JOfiuWOkz+78nA5kVimfS0417g+W1KwJ28ILb2nFkrlZ8pazGkUc7neJObbV4Eee0tYtUjSIbui8ju+5u6oH/mGwiq0F59Di09hoTMNzW1TsnYA0gSpPThYgvpIWsxUFTj2XNe7/oM8sobeYz0ACl9OCBJyvPUx3lE2AZW5WH0xzdj0PfPIH7POxi8+f8wct0CBNR10xN0+grIT18BpHIVmq6yFkPKrQBuXC22eJbDxcC8NZCfvgLSxYliK7lLaoLyvJy+QmzxSR4RtgAgyWZE52xAwp63EXXsK7G569IygLevh/TRzWILuUPWYuWM8eY1YotnOlOhTBF781ogKkRspe725QLg7a4vgvImHhO2ukjLgJwSLVapu71+jTJGe7hYbPF8k94BvlkoVqm7JYT7VdDC78IWgDTjfV4wc6dRscDUAcA6710iLVU08Bhxp82LlOehn/G7sJWrGiAdK+OUH3dITQBW3uT1Zyzyle8Dh4qVWRQEACgZcSMO/2I19t29BTnXZ6AqfqLYxTVZiyEdK4Nc1fHl997O78IWAOTF64GWK6HUfd6+HniwixsaeYpHvlLm4RIKx96B3Mt/h7qoZFgCwlCVOBE56Rmo7nuR2LVNLc+3luefv/HLsAUAPLBBuRJK3UZqMANZeWLZe937JfDkZWLVv0gS8i5+CAazalm1dQFS0ZiObe4jP31F13cX9GL+G7Z7fCgUPMGH83xvCs/+AuCWUWLVrzT0SoDFFAyLMVBsQm1MJ94Z+vHzziCpdhJ3l/wJ9+Lnu77B3vt/xLHr3kRNB99+uI119RB10YgYYEQM5Caz2OL9vjoG7PTfsduA2hLlE9lx2WpwxVmx5FxbexD7g4RwGGQ3h+3ZKY8j7+KH0BwUCVkyojJxMrJveBf1fYaIXclbfTgP0rJ9YtU3/N9mIMAImPzzTaDB3IB+Py0HJAMka+BKFuVFNfbIJ0Jvciq+FwzufLVpCotD0djbAQCyZL/YIEsGFI+cp+rZg/KrIL2dLlapg+Slu8WSz5CKapS7SPipxMw3Eb/3XUjWcduAmiIM3vx7ROZuFbu2Sno7HcivEsv+ZU++e8dsG8LjxZJCllHfZwhkg+PmM7pLXwU51cnPSe37diGw6bhY9Snytf8EZgwWy34lIestTFh2GcatnIWxq9IRdexrsYtTcmo8kL5KLPsdt4ZtYHVh67skShKq4idi7307kd2JKSTuIN0+ViyRK/qEAE9/L1bJR5nqy8VSm/i8snNz2BYg9tA6AIBkabSN9UCyDytUxytz9uojk9Rfqq+MPZAfnyJWyVVmx4snvkbaeEwskQvkx6dA+utOseyX3Bq2AJC07Xn0+2kFDOZmyAbruK2snN22kA0mlI640f5Feuuu7d0kAyqSpqEs+RrU9/GPt51Sow/OQGjN23u4CKaT5I8OiCW/5PawBYDEzDcwfvnlGLrpMbHJpkfPbK2khAix5LKa2NE4eOvnOD7nVZya+SwO3bIWeWkPit18S1wY5F93fYN3byDnVUL+rZ8vcOigrjyffJEuYdsiuCJXLNkEl58SS7qTrx8mllx2auZzaIhQ7ZcrW5A/8T5cGDxT3c2nSJclATs7MNfS23H5bod05fnki3QO2zOIOfIZAFjn7Cnr/iRzA2KOfC701tmGHEjTB4lVl9TEjkZD5ABtUVJ+teWDZ2jrvuSyJMDS6s3jiJTn04Ycsey3dA1bAAiuPANY59oCEiABQTWFCKwpELvqa31Op/e6lU2Brc+6AGAxBoslnyFf1vNDP+S55JRoYD3DtoVbwrY5JArNwX3EMppDonBu8q+0RRmoj0jq8KYWniS06DAMTQ322RYq4Xm+O9kfBievMETkoFvDtq4sCkfnLsP+hd9g/8JvkX3DO5qr8rVRyZr+aj2+X0IXNsgwmBswcOufIBu1Y3qRZ3cg7tDHmhqRX+nC88rXdFvYWgJCcHzTHHtoSkB1vwk4cfUrtjm1xsZq7RepGDs4WdrTRB37CiPXLUS/fcsRe2QdBn3/NJK/flTsBgBoDu6N85N+iey5y3Bi9l9xYehVYhfyUFJ4kFgickm3hW3Z4FlorO4lllEfmYQLQ2YBAMKKDyOsuPXbpUSd+EYs6auT47VqoSVHkLj7TSRtfR7RORvFZgCAOSgc2TcuR8H4RaiJG43ygZfj5JXPo2DcXWJX8kD+eIeBLumG55WnqokdhaIxC1Aych4ae/UTmx10W9g2hcWJJZumXva2wd/9DmGFB22PJYsZSVv/jPC8LFutR+h0xlI05jbUhyszF1rO+CXZjPOTH0VzcG+hN5GX0+l5pbe8tAdx9KaVODt1CXKnPYUDt2/AhSFtv0PttrBta55s8AV7W1DFGYz44r8wct3tGP7lfRj//gzEHvlU078nSAnhYsktauLG2Ka8tWgJ3Tov23ZSqmkSS0Ra4Y6bjnu7ygFTkD/xPs0ev5LFjFMznoU5yPlCjm4L2z6nvkN4fD5gnUPbsvdlxNldiDyzTegNhJbmoFfBTzA01YpNPSM9RZc5gabaUs1SZVj/owDA1FCpqXs6+YujYonIbkOOT25EU9Hfuo+KdS49AMgGI2Sjqc0bYXZb2AJA8rVfod/+lQisPIegynPot28ZkjcJU708lDwxXpc5gdHHNwHWoYMWssGIiLM7EFLmZVsVbjsDaZjvjslRF63PUZ5XvkYVshpyG23dHbYGoxmJP76OMWvmYfSaeUjcvVQTKh5Ph2kq4eczMfCHZyGZm+21/CwM2vJHTT+vkHke8ozOrbrzSsfLxAq1RYfnU0+IOJ+pfKJ6gyrJZkACehX8ZC8KujVsvZbOV0xjjn6B8SuuwMhPF2LMmpuQsv5B+72evI2bb6vkMeaOgPTwV2KVXKHz88vdInN/QN8D/7SeySo1WTJi0PfPwFTn/AWZYQtAemY6pC3ON8lpS3W/cThx1Us4sGA9cq5b6vLGM5KlGaElRxDUkZvmUc+5dwLkMg+5vuBFpC25kJ6ZLpa9Xv+dryJlw0NI2P0W+v/4GkavnY/onLZv086wbVnD/UrHNziujp+A7BveQ/ngmWgKi0VV4iScvOollA73r3uaSZP6iyXfo9NsFZ/zys5O7zni6cLzdiN+77vou/8DBF84KTY78PuwbblaKud1fCZA4UULbZ/LBpPt8/NpD9s+93XSTWsgL71WLPsU6aGL/WeT9G7W8rzixusMW+V2OP/TudVrNXFjNBe6WjSFxaIpJEos+yT5bAUAQIoKFZt8hnzvBOA3/xHL5CLpD1sgP32FWPY7BmQtFmv+5/vTYsUlAVX5gEH7eiXBAoOlCQH1FzR1XyZtyYX8+a1i2SdIAyIBAPIPnTtGCJDXZ4sl/5MaDwPSMsSy35DCg7q0kCHu0BrrvrxWsgUyDOi7fyUg+8+m2vKSfwGhHnBbejeQ182HxHtodd2GHP/exGdPvn8PI8ibFwHPdP423NHHvsKA7S/B0LKbmWRAv5+WI2H3P8Suvu+BDcC9zlfPeCtJBmTeHbbrnvleeb75Mb8NW+mjm4H8KrHcYXGHPsaEFdMxdtUNmPDeVCRmvil28Q978oCH0sSqV5O+XAD58uVimTorv0p53vkpvwxbKSFCmY6Svkps6rTAqjwYzI1i2a9IuRXAv31kq8iEcMgJ4UCD4wVQ6qT0VZBTov12OMEvw1b+8jb481i1u8g3rwHqmiDtuFds8irS1CTgywXApHfEJuqqtAy/HU7wv7B9enqnp3qRC9JXQfbyW37Lr8+BdPcXvHOwu/zPN8rz0M/4VdhK6cOVrRQ7OdWLXCNNXQbs9M6zWyl9OKTM85APFIpN1F2+Pw2kp/jdQgf/CdvNiyAvmcLhAx3Ijc3AQxuBrMWQYsPEZs+17R7Ij18C+eHWb2lE3SgtQ3k++tGQgn+EbUq0cnuO6SvEFnKXnwqAV3dB/voOoK/jvek8jfTdIkiBRmDG+2ITucv0Fcrz0kf3ThD5fNhK0wcBH93MM9qe8M+fgZe2AxtvF1s8y677IIcGQOYFMf2lZQAf3aw8T32cz4etnBIN6YbVYpn08vEh4JGvIGXeL7Z4BOm304CqBuCSd8Um0ol0w2qf3RlMzbfD1iJDenF7p3b0om606xxw2XIgazHgIdPCpF9OVn6eklrgqg/EZtKRnFcJ6aXtkOz3T/RJPh222tsqUk+SG5uVt4wF1cC2ewBDD/7vLJkKedE4YPaHkN/ZI7ZST/Hx/UR8OmzJA81bA1yoAzLvh/TUNLHVraTYMOVsdsEYJfhLeecF0g/DlvSXvkoJu8+zlfDbdZ9tK0N3kF6ZDWQthvzwxcr35cVS6gEMW+ox8uEiJfg25ED+7FYleOeNFLt1Tpz1LDZrMZCWAOmqD4A/dH6HN6KuklJTU2XlgOzaq71kMEDOvK/Lf093kjLvB17eAXntIbGJPJAUHw55/QJ7YfVB4LtTwN58dTdrgGqPMyk+HJiWBPmJS+21V3ZCXsW9aL2BNH+0MpY+2YOm33XnjRXSMuxhK4kHdCfIE+MdngQ9Kmsx8MI24JPDYgt5uogg4K+zgfH9xBbnSmqV/Yl3nRNbyNP9YhTwm8s8Kz9SE8RK57x9vTZsPeof2U14ZuujfPR49WceeWbbXazHK8dsiYh0wLAlItIBw5aISAcMWyIiHTBsiYh0wLAlItIBw5aISAcMWyIiHTBsiYh0wLAlItIBw5aISAcMWyIiHTBsiYh0wLAlItIBw5aISAcMWyIiHTBsiYh0wLAlItIBw5aISAcMWyIiHTBsiYh0wLAlItIBw5aISAcMW2pXUp96TBpUJZY75JLBlbhkcKVY7pBAk4yhMXUYV3ICA/o0IDTQInYh8lhSamqqjKzFQFqG2Ob1pMz7gZd3QF57SGwiF901uRCPTj8HADhWFII/fDUIRwtDxW5OTRhQjSevOoPk2DoAwBc/x+DZrweK3dp0/6X5uGRwJcYmVMMgadtOlIRg58kIbD8Zid254dpG8hrS/NHAkqmQJ78jNnk/a77yzJacGtWvxha0ADAsrg4v3ngSg6LrNf3a8tiMs7agBYC5F5VgwoBqTZ+2PH7lOTxwWR7GJToGLQAMjanDnZMK8Y/bcrDszmzMn1gEo0EWuxH1OIYtOTU2sUYsIbF3A35z9Rmx3Kp7phRgVHytWMb0YeViqVXTh5Xj9rRCsezURYnVeOKqs1j/4AHcNK5EbO6QUf0c/+1EXcGwJadG9nMMSgBIS6rCo9PPi2WNhMgG3Ds1XywDAIbE2M9025I+tlTz+FhRCL74OQarh83EpsNR2HOm9WGDuPAm/O+cXNw9pUBsatfci0qw+Vc/YeWio1h192H0790gdmnV7JFl+PMNJ7EgrUhsIgIYttQW9dldk1n7Hv6uyQVtDgfcf2k+gkz2C1hFVQG2zxMiG22ft2VAH/twRXF1AO75cASe/Xog/jL+Vvxu/WA8sCoF6W+Nxd8290d2K+PI4s/QnsuTy/H7a3IRHmwGrMMmT7pwFn95cjn+dMMpXD3yApZceRbPpZ8SuxAxbKl1sb2aMCTGHnYH8nphw8FoTZ97prR+5np5crnDWWl5nT1se4c0a9qcMaqOzmazhLomx8M1vyIQH2b2xR0rRuLxdUNxMC/M1hZotGD2yDJN/7ZcP9ax75TBlZg8qO1ZFNeO1n7dnFFlTn835L8cj14iAOP7a89ajxaG4o0tiaisN9lqUwZXYt54x7FR8e37B5l9YVadYBok1y5gmVQXuixyK1fHBD8c740Vu/ppaklRrg0DpMTVYWbKBbEMtDPGHGiSMXO449fdO7UAUWGuvaiQf2DYUqsGq85qAeBQXihKqgPw3g5tmN19ifatevrYUoxNsA8/nC8PwhtbEjVhaXDxqDMZ7WHbbGk/bAGgV5AyBNCirMb+4tCWacnOA/Xigc7nGF+cVNnqLIkgkwXpYxxfiMh/uXjYk7+JCWvSPD57IQgA8M/dffHTuV62enxkI/7fFXm2xzcKswCW7+oHs0WCrDqZNXbizFZ9ZtwW8Wzygmr4oi3ThlZoHmepLr4Niq5HvJNx5nHCOwC1yYOdh3SLOaPKcNfkQtwwlsHs6+yLGnzVC9uATw6LVWrH335xHJepAmjW6+NQXqecJU4dUoHXbzmu6g2kvzUWI/vW4KWbTtpqx4tDcNuyUQCA9+7MxrhEJZgazQZM/csEWz9ntj6+DyEBSsoeyg/DopUjlIY2FuE8cdUZzJ9YbHv88OphyMyN0PQRBZpk7Fiy1/Y4uzAUmbnhWDjJPu1syadDseVYb9vjFktvzdGsrjtdGqyZh3z1G+NaPbsek1CDx2eew0XW3wkA/GnTQHy2P0bTz2/8YhTwm8vEqu9Iy/DtFWTUeR/dfRgpccoUrap6I2a8Nl7T/rs5uZqz2FVZcRgcXa9ZkvuXfw/A6j1xAIB378i2jQM3mSVM+ctEW7/WhARYsPXxfbbHu05F4JGPhykP2jheP7nvkCbsZr42HpX1Rk0f0aSBlVh62zHb48/3x+Dn82H4v2tzbbWlPyRi2U7tEAoAbHt8H4KtLwi5ZcHYdSoCt6bap389t2kgPhcC9NbUIiy58qzD8MP+871w74fDtUXyflxBRm3pF2F/21xYFahpA4D3dsZrHk8fVq4J2vyKQFvQAoBZNebqygqvPqHaYQz1hTlnUuJqNUGbeTq83aAFgBHCfOKcolAcLw7R1AZFO84NHtWvxha0sF5E3HlKexY9aaB2JsNTs3Px61mOQQsA4xKrEaAapybfwrAlBxHBzYiwzjWFk7DNrwjE1uORtsfimOZn+2M1j9UR0lrQiMTpYa6EprjRzZ6zrS96ECXHai8GHikIxZHCMM0LxOBWliiLiz5yCkOw7UQkKqzDLQBw6VD7z/TU7FyH2RvidDaGre9i2JIDcdWUekGC2vetjGHCeha6Kst+VgsAFuECV3vTvyJDtLMKqlwKW+0FqR9Ptz1W2yI51h6aZouEA3lhkGUgp8h+dtsypKKW0ldbyy5SFlbsOGn/vmGBZlwxrBxPzT7jELSZp8Ox18UXBPJ+DFtyoB5CAIBiJ2GrvmKv9ulPMQ5nbOI8WfWChdZECbMhWi7OORMV2qR5y366NFizwMGZkACLJkiPFNhXop0qDbZ9bjTIDvs8pMRpHx84r3w/8YLcJYMqMW+8/aIdAKw/EI2H16QgLND+olLXZEBtYzu/GPJa/J8lB30jtEFXXO04jADrHNqGZu0hlF8RiIztCZpaa6R2hhKihSlcZbWtB34LMQh3uXhWOypeu+HMMdVYbW6ZPWwBYFCUdihBPdRSVBWImkbl7FuctXCLanYErEH7h68GAQBietl/166MS5P3YtiSg0hhvNTZMAKsgau2dGsiGpsdk1QcNmjWjhI46B2iDfzS6raDKC1JO4SwU/VWvi3DhaGAE22FrTBuq54HrN47orLeqBnPVlMHLayb5rQoqXb+eybvx7AlB6EB2iRsOWNrzXZVqG07EYmvD0Vp2luohw0ssuOwgqhPqDbwS2raDqJEYZz5ZKl2NoEzQ4UdyFrGXQHgZIk2bNUb40C4mCVu1PP5z47zZX88HYHnNtk3To8Ka0ag0T6YXdrOv5G8G8OWHIi3m6lucB62r23uj1e/Uz7++5NksdlGPd2r2dL+YSeuBCtqZUaE2kDVW/zKeiPyK9ru30IM20P59nHekyUhaDTbf9aBwj4LJoP99yQuJ95yrDcytsUjvyIQZbUB+HhvHB5bl6yZ4SCOjZe0c/ZO3q39o578Tpiwv0BbYQvrEt5/7u4rljU6uvQ2SjXPtqbR2O7PoN628Yzw9t+ZQdH1mrHeqnojFk0uwIyUcttUthPF9r9LHEZo68wWADK2JyD9rbG4+u8X4aVvBzgMr8SEacNWvTMa+R6GLTkQz2xdmePaHvWYbXMrwSRSz7Ntb7wWAMyqYYn2Lr61eGhanubnCg8244HL8vDyTSew/sEDWP/gAQQH2NsDjRbNLX4CTeqzdRe/qYp4EZBjtr6NYUsO1NORzBYJtW2M2brKpPor1MHoClfCUz2PV9IsoXBO3CFMFB/ZiMHCyrEk1bit9gJZx59K6pkI4DCCz+v4EUI+L1QVtu29fXeVesxWPW7pjGtxaae+4NbeHN4W6iECV6lXykntLMxoj7gkuaTGtXFm8k4uHpbkT8JUwwjdFraqYHIlbNVcOrNV5Z6rIShuLP7o2mF4ZuMgfJDZF9tPtj51K7G3PWzVF/rUZ7muEmdcFHMYwacxbH3Y7RcX4aUbT+D319h3r3KF+u11W9O+OkI7G0HT1Cq5g0MNnTmzVc8nrm8yYMfJCGw4GI3XNvfHr9Ym4673R2CNajMdAOgXYQ9o9UUx9UbnrlIvioCLY9PkvVw8LMmb3DiuBBsfPoDHZ57FzOHlmHtRCR6beU7s1qphcXWaECqs7J6zLfXmMx0NUldozmxdHIRQn223NpvgcEEYXv73AM0FQvWm6uoLfa5uiK4WHmT/Pdc0GjXTzMj38H/XhyRENuCVeSfwuzm56BuunVbU3sWgFhOEOw8cVM077Qr1YgH1565wjEFHnTmzdfWiXb1qnwf1TA31DITOnNmqN9spr+VZra9z8bAkT3fdmFKsWHgUV7Ryc8JD+WFYt89xRVNrxM1Vfj5vvwVOV7zwTRK+y+6N77J744VvksRmB+pNYNSfO6OejSAuDXZGO/fXediqZxqo59aqv6YzY7bqvXDrhT0myPfwf9gHPHHVWfzhutMOq652nYrAkk+HYtHKEThc4NoZ6vC+2rDd301hW1ZjwhOfD8UTnw9t9TYxoqU/JOBAXhgO5IVh6Q/tb2yj3uz7lItLdbXjyG2Frb3N2UKGzoStenGHq0Mf5L0Ytl7s+jGlWLnoKOZPtN+GpcWbPyTikY+HOexA1Z6qBnsQbj0e6bDqSS85RaG4+4MRuPuDEchxYdjh71sSsedMOPacCcfr3yeKza1SB2RbCy20oWpPyNOqlWotN8TsCFk1QOLq0Ad5L/4Xe6E5o8qw7M5sPHPdaYzqp90i8HB+KB5YlYLlrdwvyxVvbU1ATlEoDheE4Z3t2lvfeLKTJSF4YFUKHliVgtMuDDtACMi2hiqcheI72+NxpCAU2YWhLm0rKVKf2bo69EHei2HrRWaNuICM23PwXPopzV1ZW6zdG4u7Vo7EHiebervi5/NhuH35SNz1vutDD97qrW0JOFKgvLBkbHP+wpJbZg/lEyX2IYqDeWFY+P5I3LFiJH62bhzeEeqLeq7cKoi8G8PWw8WFN+LW1CKsWHgUL8w9iYkDtPu2AsrtW57ZOAgvftv+hSeyawnL9l5Y3t6WgD1nwnEwLwxvbHFtiMIVR1V3hcgudG2cmbwXb2XuoVLi6vDEVWdst/9uzcmSYKzdF4e1e7U3V+xJBkmGySAjwCjDaJBhkJTbvYh3dOgSHzleI4LN+O1sZcHJ8/9K4p0afJX1eGXYeqhlC4/iogTteGyLZrOEygaTSzdB7G5GgwyjJMNktP9pMsgwGZWLR87eDltkoKHZgPomAxrNyp8NzRIam5UgVj4kNJkNKK8zobzWiPK6AJTVmlBWY0JZbQCKqgKUTXF4vJI3Ydh6tv/8aj8ig7VTuUhZaVUWFY0L2bW4UGvChVoTKupNqKhT9rxVPkyobjCist6Imlb2dpCt83KbLZL1w4AmswS5h65RGSTlnUCQSXnxgvUFtcksodEstTkHmLwAw9azvX/XUYwWbkZI7mW2hm9xdQAKKwNRXB1g/QhEYaXyZ1FVAAoqHXfnighuRkJkI/pGNCIuvAmxvZoQHdaEmF5NiO3ViGCTBSajEqomg4xAk/UdgUEZbmmLRVY2vTFblGlozWbl5zRbJJTWBOCFb5JwtLD96XHUQxi2nu2ixBo8NTtXs1m1WkWdqUduey1bz7panuwtf5plJQTMFmXpa7NZsl1tDzRZEGiUEWSy2D8ClMfBJotmJZU3sMhAYWUgggJkhASYEdLDP//2k5H41VrntySiHsaw9Q63TCzGLROKMUS4VxYA/G1zf3yY2fbtaLxFSIAFIYEWBJvMiOnVjKjQJvQJbUaf0Gb0DmlCb9vnzYgaEoSoqnLNai5/xrD1cAxb7zJ/YjHunFSgudcWALy3Ix7/2NrxCfVezXq8RoU1IyasCVFhTYgIbkavILPqw4LQQDOCTJZWN7KRJGUFWct4qcmozJwIMFrQN7wJccJGPl1RVa+MJTdblHHYZov1XYCsXBBsNivvBlqGCGDd2MZkUP40SspQQ8uQQ8ufAUYZFXUmDiN4Ooat9xkSU4fn0k87bBbz6U+x+PO//GiOrQ7Ha4BRRmLvBvSLaETfcGUctk9ok+2sO8AoIzjAgrpGZSZFXZMBxdUBKKtRZk2U1Chju/kVgZzS5e8Ytt4pKrQJz889hdQk7eKGrccj8fTGwd1yc0aPx+OVvIn1eNX/Cgt1SVltAB5e47jBzLTkCry1IBvjWlnGS0Q9j2HrhcwWCUs+HYpP9mlXjqXE1eG9O7Ox7v5D+PWss7h0SIWmnYh6DsPWi73wTVKre70OjKrHralFeO2W4/jhsX149ebjDrfNJiJ9MWy93LKd8Xhm4yBccHJbldBAC6YlV2DR5AKxiYh0xLD1ARsORuPWZaPxt839setUhNgMCNv5EZH+GLY+oqzGhA8z++KRj4fh6jfG4U+bBmLT4SjkFIXgP9l9vGojcCJfxLD1QWU1Jny2Pwa/Wz8Yty8fhSc/H4LqVjZkISL9MGyJiHTAsCUi0gHDlohIBwxbIiIdMGyJiHRg34iGiIjcw7brVyrnYBIRuc2efPx/YqTp9vg7FBgAAAAASUVORK5CYI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</si>
</sst>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B7"/>
  <sheetViews>
    <sheetView workbookViewId="0">
      <selection activeCell="A3" sqref="A3"/>
    </sheetView>
  </sheetViews>
  <sheetFormatPr defaultRowHeight="14.4" x14ac:dyDescent="0.3"/>
  <cols>
    <col min="54" max="54" width="10.33203125" bestFit="1" customWidth="1"/>
  </cols>
  <sheetData>
    <row r="1" spans="1:54" s="4" customFormat="1" x14ac:dyDescent="0.3">
      <c r="A1" s="4" t="s">
        <v>0</v>
      </c>
      <c r="B1" s="4" t="s">
        <v>1</v>
      </c>
      <c r="C1" s="4" t="s">
        <v>2</v>
      </c>
      <c r="D1" s="4" t="s">
        <v>106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97</v>
      </c>
      <c r="M1" s="4" t="s">
        <v>109</v>
      </c>
      <c r="N1" s="4" t="s">
        <v>110</v>
      </c>
      <c r="O1" s="4" t="s">
        <v>124</v>
      </c>
      <c r="P1" s="4" t="s">
        <v>98</v>
      </c>
      <c r="Q1" s="4" t="s">
        <v>125</v>
      </c>
      <c r="R1" s="4" t="s">
        <v>111</v>
      </c>
      <c r="S1" s="4" t="s">
        <v>11</v>
      </c>
      <c r="T1" s="4" t="s">
        <v>10</v>
      </c>
      <c r="U1" s="4" t="s">
        <v>99</v>
      </c>
      <c r="V1" s="4" t="s">
        <v>100</v>
      </c>
      <c r="W1" s="5" t="s">
        <v>101</v>
      </c>
      <c r="X1" s="5" t="s">
        <v>102</v>
      </c>
      <c r="Y1" s="5" t="s">
        <v>103</v>
      </c>
      <c r="Z1" s="5" t="s">
        <v>104</v>
      </c>
      <c r="AA1" s="6" t="s">
        <v>23</v>
      </c>
      <c r="AB1" s="6" t="s">
        <v>105</v>
      </c>
      <c r="AC1" s="5" t="s">
        <v>24</v>
      </c>
      <c r="AD1" s="5" t="s">
        <v>114</v>
      </c>
      <c r="AE1" s="5" t="s">
        <v>115</v>
      </c>
      <c r="AF1" s="4" t="s">
        <v>25</v>
      </c>
      <c r="AG1" s="4" t="s">
        <v>26</v>
      </c>
      <c r="AH1" s="5" t="s">
        <v>27</v>
      </c>
      <c r="AI1" s="4" t="s">
        <v>116</v>
      </c>
      <c r="AJ1" s="4" t="s">
        <v>117</v>
      </c>
      <c r="AK1" s="4" t="s">
        <v>118</v>
      </c>
      <c r="AL1" s="4" t="s">
        <v>119</v>
      </c>
      <c r="AM1" s="4" t="s">
        <v>120</v>
      </c>
      <c r="AN1" s="4" t="s">
        <v>121</v>
      </c>
      <c r="AO1" s="4" t="s">
        <v>122</v>
      </c>
      <c r="AP1" s="4" t="s">
        <v>123</v>
      </c>
      <c r="AQ1" s="4" t="s">
        <v>28</v>
      </c>
      <c r="AR1" s="4" t="s">
        <v>29</v>
      </c>
      <c r="AS1" s="4" t="s">
        <v>30</v>
      </c>
      <c r="AT1" s="4" t="s">
        <v>31</v>
      </c>
      <c r="AU1" s="4" t="s">
        <v>40</v>
      </c>
      <c r="AV1" s="4" t="s">
        <v>41</v>
      </c>
      <c r="AW1" s="4" t="s">
        <v>42</v>
      </c>
      <c r="AX1" s="4" t="s">
        <v>43</v>
      </c>
      <c r="AY1" s="4" t="s">
        <v>68</v>
      </c>
      <c r="AZ1" s="4" t="s">
        <v>78</v>
      </c>
      <c r="BA1" s="4" t="s">
        <v>77</v>
      </c>
      <c r="BB1" s="4" t="s">
        <v>142</v>
      </c>
    </row>
    <row r="2" spans="1:54" x14ac:dyDescent="0.3">
      <c r="A2" s="1">
        <f>B2+C2</f>
        <v>7</v>
      </c>
      <c r="B2" s="1">
        <f>SUM(Sheet2!K:K)</f>
        <v>4</v>
      </c>
      <c r="C2" s="1">
        <f>SUM(Sheet2!L:L)</f>
        <v>3</v>
      </c>
      <c r="D2" s="1">
        <f>SUM(Sheet2!O:O)</f>
        <v>5</v>
      </c>
      <c r="E2" s="1">
        <f>F2+G2+H2</f>
        <v>18</v>
      </c>
      <c r="F2" s="1">
        <f>SUM(Sheet2!E:E) + SUM(Sheet2!H:H)</f>
        <v>7</v>
      </c>
      <c r="G2" s="1">
        <f>SUM(Sheet2!F:F) + SUM(Sheet2!I:I)</f>
        <v>8</v>
      </c>
      <c r="H2" s="1">
        <f>SUM(Sheet2!G:G) + SUM(Sheet2!J:J)</f>
        <v>3</v>
      </c>
      <c r="I2" s="1">
        <f>SUM(Sheet2!E:E) + SUM(Sheet2!F:F) + SUM(Sheet2!G:G)</f>
        <v>13</v>
      </c>
      <c r="J2" s="1">
        <f>SUM(Sheet2!H:H) + SUM(Sheet2!I:I) + SUM(Sheet2!J:J)</f>
        <v>5</v>
      </c>
      <c r="K2" s="1">
        <v>4</v>
      </c>
      <c r="L2" s="1">
        <v>1</v>
      </c>
      <c r="M2" s="1">
        <v>4</v>
      </c>
      <c r="N2" s="1">
        <v>0</v>
      </c>
      <c r="O2" s="1">
        <v>5</v>
      </c>
      <c r="P2" s="1">
        <v>0</v>
      </c>
      <c r="Q2" s="1">
        <v>4</v>
      </c>
      <c r="R2" s="1">
        <v>2</v>
      </c>
      <c r="S2" s="1">
        <f>SUM(Sheet2!AL:AL)</f>
        <v>16</v>
      </c>
      <c r="T2" s="1">
        <f>SUM(Sheet2!AM:AM)</f>
        <v>11</v>
      </c>
      <c r="U2" s="1">
        <f>SUM(Sheet2!T:T)</f>
        <v>21</v>
      </c>
      <c r="V2" s="1">
        <f>SUM(Sheet2!U:U)</f>
        <v>14</v>
      </c>
      <c r="W2" s="2">
        <f>V2/U2</f>
        <v>0.66666666666666663</v>
      </c>
      <c r="X2" s="1">
        <f>SUM(Sheet2!V:V)</f>
        <v>18</v>
      </c>
      <c r="Y2" s="1">
        <f>SUM(Sheet2!W:W)</f>
        <v>12</v>
      </c>
      <c r="Z2" s="2">
        <f>Y2/X2</f>
        <v>0.66666666666666663</v>
      </c>
      <c r="AA2" s="1">
        <f>SUM(Sheet2!X:X)</f>
        <v>41</v>
      </c>
      <c r="AB2" s="1">
        <f>SUM(Sheet2!Y:Y)</f>
        <v>22</v>
      </c>
      <c r="AC2" s="2">
        <f>AB2/AA2</f>
        <v>0.53658536585365857</v>
      </c>
      <c r="AD2" s="1">
        <f>SUM(Sheet2!Z:Z)</f>
        <v>10</v>
      </c>
      <c r="AE2" s="1">
        <f>SUM(Sheet2!AA:AA)</f>
        <v>6</v>
      </c>
      <c r="AF2" s="1">
        <f>SUM(Sheet2!P:P)</f>
        <v>22</v>
      </c>
      <c r="AG2" s="1">
        <f>SUM(Sheet2!Q:Q)</f>
        <v>11</v>
      </c>
      <c r="AH2" s="2">
        <f>AG2/AF2</f>
        <v>0.5</v>
      </c>
      <c r="AI2" s="1">
        <f>SUM(Sheet2!AD:AD)</f>
        <v>3</v>
      </c>
      <c r="AJ2" s="1">
        <f>SUM(Sheet2!AE:AE)</f>
        <v>0</v>
      </c>
      <c r="AK2" s="1">
        <f>SUM(Sheet2!AF:AF)</f>
        <v>21</v>
      </c>
      <c r="AL2" s="1">
        <f>SUM(Sheet2!AG:AG)</f>
        <v>0</v>
      </c>
      <c r="AM2" s="1">
        <f>SUM(Sheet2!AH:AH)</f>
        <v>10</v>
      </c>
      <c r="AN2" s="1">
        <f>SUM(Sheet2!AI:AI)</f>
        <v>2</v>
      </c>
      <c r="AO2" s="1">
        <f>SUM(Sheet2!AJ:AJ)</f>
        <v>8</v>
      </c>
      <c r="AP2" s="1">
        <f>SUM(Sheet2!AK:AK)</f>
        <v>0</v>
      </c>
      <c r="AQ2" s="1" t="s">
        <v>143</v>
      </c>
      <c r="AR2" s="1" t="s">
        <v>79</v>
      </c>
      <c r="AS2" s="1">
        <f>SUM(Sheet3!T:T)</f>
        <v>5</v>
      </c>
      <c r="AT2" s="1">
        <f>SUM(Sheet3!U:U)</f>
        <v>0</v>
      </c>
      <c r="AU2" s="1">
        <f>SUM(Sheet2!AN:AN)</f>
        <v>2</v>
      </c>
      <c r="AV2" s="1">
        <f>SUM(Sheet2!AO:AO)</f>
        <v>0</v>
      </c>
      <c r="AW2" s="1" t="s">
        <v>144</v>
      </c>
      <c r="AX2" s="1">
        <v>2</v>
      </c>
      <c r="AY2" t="s">
        <v>145</v>
      </c>
      <c r="AZ2" t="s">
        <v>146</v>
      </c>
      <c r="BA2">
        <v>35</v>
      </c>
      <c r="BB2" s="7">
        <v>46131</v>
      </c>
    </row>
    <row r="7" spans="1:54" x14ac:dyDescent="0.3">
      <c r="AF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AX20"/>
  <sheetViews>
    <sheetView tabSelected="1" zoomScale="70" zoomScaleNormal="70" workbookViewId="0">
      <pane xSplit="1" topLeftCell="B1" activePane="topRight" state="frozen"/>
      <selection pane="topRight" activeCell="F45" sqref="F45"/>
    </sheetView>
  </sheetViews>
  <sheetFormatPr defaultRowHeight="14.4" x14ac:dyDescent="0.3"/>
  <cols>
    <col min="11" max="11" width="10.44140625" customWidth="1"/>
    <col min="12" max="12" width="10.77734375" customWidth="1"/>
    <col min="30" max="30" width="13.88671875" customWidth="1"/>
    <col min="31" max="31" width="18.88671875" customWidth="1"/>
  </cols>
  <sheetData>
    <row r="1" spans="1:50" s="4" customFormat="1" x14ac:dyDescent="0.3">
      <c r="A1" s="4" t="s">
        <v>32</v>
      </c>
      <c r="B1" s="4" t="s">
        <v>33</v>
      </c>
      <c r="C1" s="4" t="s">
        <v>12</v>
      </c>
      <c r="D1" s="4" t="s">
        <v>13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82</v>
      </c>
      <c r="L1" s="4" t="s">
        <v>18</v>
      </c>
      <c r="M1" s="4" t="s">
        <v>16</v>
      </c>
      <c r="N1" s="4" t="s">
        <v>17</v>
      </c>
      <c r="O1" s="4" t="s">
        <v>83</v>
      </c>
      <c r="P1" s="4" t="s">
        <v>34</v>
      </c>
      <c r="Q1" s="4" t="s">
        <v>35</v>
      </c>
      <c r="R1" s="4" t="s">
        <v>126</v>
      </c>
      <c r="S1" s="4" t="s">
        <v>127</v>
      </c>
      <c r="T1" s="4" t="s">
        <v>84</v>
      </c>
      <c r="U1" s="4" t="s">
        <v>85</v>
      </c>
      <c r="V1" s="4" t="s">
        <v>86</v>
      </c>
      <c r="W1" s="4" t="s">
        <v>87</v>
      </c>
      <c r="X1" s="4" t="s">
        <v>36</v>
      </c>
      <c r="Y1" s="4" t="s">
        <v>37</v>
      </c>
      <c r="Z1" s="4" t="s">
        <v>112</v>
      </c>
      <c r="AA1" s="4" t="s">
        <v>113</v>
      </c>
      <c r="AB1" s="4" t="s">
        <v>19</v>
      </c>
      <c r="AC1" s="4" t="s">
        <v>20</v>
      </c>
      <c r="AD1" s="4" t="s">
        <v>88</v>
      </c>
      <c r="AE1" s="4" t="s">
        <v>89</v>
      </c>
      <c r="AF1" s="4" t="s">
        <v>90</v>
      </c>
      <c r="AG1" s="4" t="s">
        <v>91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14</v>
      </c>
      <c r="AM1" s="4" t="s">
        <v>15</v>
      </c>
      <c r="AN1" s="4" t="s">
        <v>38</v>
      </c>
      <c r="AO1" s="4" t="s">
        <v>39</v>
      </c>
      <c r="AP1" s="4" t="s">
        <v>21</v>
      </c>
      <c r="AQ1" s="4" t="s">
        <v>96</v>
      </c>
      <c r="AR1" s="4" t="s">
        <v>22</v>
      </c>
      <c r="AS1" s="4" t="s">
        <v>107</v>
      </c>
      <c r="AT1" s="4" t="s">
        <v>28</v>
      </c>
      <c r="AU1" s="4" t="s">
        <v>29</v>
      </c>
      <c r="AV1" s="4" t="s">
        <v>42</v>
      </c>
      <c r="AW1" s="4" t="s">
        <v>43</v>
      </c>
      <c r="AX1" s="4" t="s">
        <v>77</v>
      </c>
    </row>
    <row r="2" spans="1:50" x14ac:dyDescent="0.3">
      <c r="A2" s="3" t="s">
        <v>138</v>
      </c>
      <c r="B2" s="3" t="s">
        <v>72</v>
      </c>
      <c r="C2" s="3">
        <v>90</v>
      </c>
      <c r="D2" s="3"/>
      <c r="E2" s="3"/>
      <c r="F2" s="3"/>
      <c r="G2" s="3"/>
      <c r="H2" s="3"/>
      <c r="I2" s="3"/>
      <c r="J2" s="3"/>
      <c r="K2" s="3"/>
      <c r="L2" s="3"/>
      <c r="M2" s="3"/>
      <c r="N2" s="3">
        <v>1</v>
      </c>
      <c r="O2" s="3"/>
      <c r="P2" s="3">
        <v>5</v>
      </c>
      <c r="Q2" s="3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f>SUM(Sheet3!R:R)</f>
        <v>4</v>
      </c>
      <c r="AQ2" s="3">
        <v>0</v>
      </c>
      <c r="AR2" s="3">
        <v>0</v>
      </c>
      <c r="AS2" s="3" t="s">
        <v>108</v>
      </c>
      <c r="AT2" s="1" t="s">
        <v>143</v>
      </c>
      <c r="AU2" t="s">
        <v>79</v>
      </c>
      <c r="AV2" s="3" t="s">
        <v>144</v>
      </c>
      <c r="AW2" s="1">
        <v>2</v>
      </c>
      <c r="AX2">
        <v>35</v>
      </c>
    </row>
    <row r="3" spans="1:50" x14ac:dyDescent="0.3">
      <c r="A3" s="3" t="s">
        <v>139</v>
      </c>
      <c r="B3" s="3" t="s">
        <v>134</v>
      </c>
      <c r="C3" s="3">
        <v>77</v>
      </c>
      <c r="D3" s="3"/>
      <c r="E3" s="3"/>
      <c r="F3" s="3"/>
      <c r="G3" s="3"/>
      <c r="H3" s="3"/>
      <c r="I3" s="3"/>
      <c r="J3" s="3"/>
      <c r="M3" s="3"/>
      <c r="N3" s="3"/>
      <c r="O3" s="3"/>
      <c r="P3" s="3">
        <v>2</v>
      </c>
      <c r="Q3" s="3">
        <v>0</v>
      </c>
      <c r="R3" s="3"/>
      <c r="S3" s="3">
        <v>1</v>
      </c>
      <c r="T3" s="3">
        <v>1</v>
      </c>
      <c r="U3" s="3">
        <v>1</v>
      </c>
      <c r="V3" s="3">
        <v>2</v>
      </c>
      <c r="W3" s="3">
        <v>2</v>
      </c>
      <c r="X3" s="3">
        <v>4</v>
      </c>
      <c r="Y3" s="3">
        <v>1</v>
      </c>
      <c r="Z3" s="3">
        <v>1</v>
      </c>
      <c r="AA3" s="3">
        <v>1</v>
      </c>
      <c r="AB3" s="3"/>
      <c r="AC3" s="3"/>
      <c r="AD3" s="3"/>
      <c r="AE3" s="3"/>
      <c r="AF3" s="3">
        <v>2</v>
      </c>
      <c r="AG3" s="3"/>
      <c r="AH3" s="3"/>
      <c r="AI3" s="3"/>
      <c r="AJ3" s="3">
        <v>2</v>
      </c>
      <c r="AK3" s="3"/>
      <c r="AL3" s="3"/>
      <c r="AM3" s="3"/>
      <c r="AN3" s="3"/>
      <c r="AO3" s="3"/>
      <c r="AP3" s="3"/>
      <c r="AQ3" s="3"/>
      <c r="AR3" s="3">
        <v>0</v>
      </c>
      <c r="AS3" s="3" t="s">
        <v>108</v>
      </c>
      <c r="AT3" s="1" t="s">
        <v>143</v>
      </c>
      <c r="AU3" t="s">
        <v>79</v>
      </c>
      <c r="AV3" s="3" t="s">
        <v>144</v>
      </c>
      <c r="AW3" s="1">
        <v>2</v>
      </c>
      <c r="AX3">
        <v>35</v>
      </c>
    </row>
    <row r="4" spans="1:50" x14ac:dyDescent="0.3">
      <c r="A4" s="3" t="s">
        <v>69</v>
      </c>
      <c r="B4" s="3" t="s">
        <v>73</v>
      </c>
      <c r="C4" s="3">
        <v>90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</v>
      </c>
      <c r="Q4" s="3">
        <v>1</v>
      </c>
      <c r="R4" s="3">
        <v>1</v>
      </c>
      <c r="S4" s="3"/>
      <c r="T4" s="3"/>
      <c r="U4" s="3"/>
      <c r="V4" s="3"/>
      <c r="W4" s="3"/>
      <c r="X4" s="3">
        <v>1</v>
      </c>
      <c r="Y4" s="3">
        <v>1</v>
      </c>
      <c r="Z4" s="3"/>
      <c r="AA4" s="3"/>
      <c r="AB4" s="3">
        <v>1</v>
      </c>
      <c r="AC4" s="3">
        <v>2</v>
      </c>
      <c r="AD4" s="3"/>
      <c r="AE4" s="3"/>
      <c r="AF4" s="3"/>
      <c r="AG4" s="3"/>
      <c r="AH4" s="3">
        <v>1</v>
      </c>
      <c r="AI4" s="3"/>
      <c r="AJ4" s="3"/>
      <c r="AK4" s="3"/>
      <c r="AL4" s="3"/>
      <c r="AM4" s="3"/>
      <c r="AN4" s="3"/>
      <c r="AO4" s="3"/>
      <c r="AP4" s="3"/>
      <c r="AQ4" s="3"/>
      <c r="AR4" s="3">
        <v>0</v>
      </c>
      <c r="AS4" s="3" t="s">
        <v>108</v>
      </c>
      <c r="AT4" s="1" t="s">
        <v>143</v>
      </c>
      <c r="AU4" t="s">
        <v>79</v>
      </c>
      <c r="AV4" s="3" t="s">
        <v>144</v>
      </c>
      <c r="AW4" s="1">
        <v>2</v>
      </c>
      <c r="AX4">
        <v>35</v>
      </c>
    </row>
    <row r="5" spans="1:50" x14ac:dyDescent="0.3">
      <c r="A5" s="3" t="s">
        <v>70</v>
      </c>
      <c r="B5" s="3" t="s">
        <v>73</v>
      </c>
      <c r="C5" s="3">
        <v>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2</v>
      </c>
      <c r="Q5" s="3">
        <v>1</v>
      </c>
      <c r="R5" s="3">
        <v>1</v>
      </c>
      <c r="S5" s="3"/>
      <c r="T5" s="3"/>
      <c r="U5" s="3"/>
      <c r="V5" s="3">
        <v>2</v>
      </c>
      <c r="W5" s="3">
        <v>1</v>
      </c>
      <c r="X5" s="3">
        <v>4</v>
      </c>
      <c r="Y5" s="3">
        <v>2</v>
      </c>
      <c r="Z5" s="3"/>
      <c r="AA5" s="3"/>
      <c r="AB5" s="3">
        <v>2</v>
      </c>
      <c r="AC5" s="3">
        <v>4</v>
      </c>
      <c r="AD5" s="3"/>
      <c r="AE5" s="3"/>
      <c r="AF5" s="3"/>
      <c r="AG5" s="3"/>
      <c r="AH5" s="3">
        <v>2</v>
      </c>
      <c r="AI5" s="3"/>
      <c r="AJ5" s="3"/>
      <c r="AK5" s="3"/>
      <c r="AL5" s="3">
        <v>1</v>
      </c>
      <c r="AM5" s="3"/>
      <c r="AN5" s="3"/>
      <c r="AO5" s="3"/>
      <c r="AP5" s="3"/>
      <c r="AQ5" s="3">
        <v>1</v>
      </c>
      <c r="AR5" s="3">
        <v>0</v>
      </c>
      <c r="AS5" s="3" t="s">
        <v>108</v>
      </c>
      <c r="AT5" s="1" t="s">
        <v>143</v>
      </c>
      <c r="AU5" t="s">
        <v>79</v>
      </c>
      <c r="AV5" s="3" t="s">
        <v>144</v>
      </c>
      <c r="AW5" s="1">
        <v>2</v>
      </c>
      <c r="AX5">
        <v>35</v>
      </c>
    </row>
    <row r="6" spans="1:50" x14ac:dyDescent="0.3">
      <c r="A6" s="3" t="s">
        <v>140</v>
      </c>
      <c r="B6" s="3" t="s">
        <v>135</v>
      </c>
      <c r="C6" s="3">
        <v>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2</v>
      </c>
      <c r="Q6" s="3">
        <v>2</v>
      </c>
      <c r="R6" s="3"/>
      <c r="S6" s="3"/>
      <c r="T6" s="3"/>
      <c r="U6" s="3"/>
      <c r="V6" s="3">
        <v>2</v>
      </c>
      <c r="W6" s="3">
        <v>2</v>
      </c>
      <c r="X6" s="3">
        <v>2</v>
      </c>
      <c r="Y6" s="3">
        <v>1</v>
      </c>
      <c r="Z6" s="3">
        <v>1</v>
      </c>
      <c r="AA6" s="3">
        <v>0</v>
      </c>
      <c r="AB6" s="3"/>
      <c r="AC6" s="3">
        <v>2</v>
      </c>
      <c r="AD6" s="3"/>
      <c r="AE6" s="3"/>
      <c r="AF6" s="3"/>
      <c r="AG6" s="3"/>
      <c r="AH6" s="3"/>
      <c r="AI6" s="3"/>
      <c r="AJ6" s="3"/>
      <c r="AK6" s="3"/>
      <c r="AL6" s="3"/>
      <c r="AM6" s="3">
        <v>1</v>
      </c>
      <c r="AN6" s="3">
        <v>1</v>
      </c>
      <c r="AO6" s="3"/>
      <c r="AP6" s="3"/>
      <c r="AQ6" s="3"/>
      <c r="AR6" s="3">
        <v>0</v>
      </c>
      <c r="AS6" s="3" t="s">
        <v>108</v>
      </c>
      <c r="AT6" s="1" t="s">
        <v>143</v>
      </c>
      <c r="AU6" t="s">
        <v>79</v>
      </c>
      <c r="AV6" s="3" t="s">
        <v>144</v>
      </c>
      <c r="AW6" s="1">
        <v>2</v>
      </c>
      <c r="AX6">
        <v>35</v>
      </c>
    </row>
    <row r="7" spans="1:50" x14ac:dyDescent="0.3">
      <c r="A7" s="3" t="s">
        <v>71</v>
      </c>
      <c r="B7" s="3" t="s">
        <v>74</v>
      </c>
      <c r="C7" s="3">
        <v>65</v>
      </c>
      <c r="D7" s="3"/>
      <c r="E7" s="3"/>
      <c r="F7" s="3">
        <v>1</v>
      </c>
      <c r="G7" s="3"/>
      <c r="H7" s="3"/>
      <c r="I7" s="3">
        <v>1</v>
      </c>
      <c r="J7" s="3"/>
      <c r="K7" s="3"/>
      <c r="L7" s="3"/>
      <c r="M7" s="3"/>
      <c r="N7" s="3"/>
      <c r="O7" s="3"/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3</v>
      </c>
      <c r="W7" s="3">
        <v>2</v>
      </c>
      <c r="X7" s="3">
        <v>7</v>
      </c>
      <c r="Y7" s="3">
        <v>5</v>
      </c>
      <c r="Z7" s="3"/>
      <c r="AA7" s="3"/>
      <c r="AB7" s="3"/>
      <c r="AC7" s="3"/>
      <c r="AD7" s="3">
        <v>1</v>
      </c>
      <c r="AE7" s="3"/>
      <c r="AF7" s="3">
        <v>2</v>
      </c>
      <c r="AG7" s="3"/>
      <c r="AH7" s="3">
        <v>1</v>
      </c>
      <c r="AI7" s="3"/>
      <c r="AJ7" s="3">
        <v>1</v>
      </c>
      <c r="AK7" s="3"/>
      <c r="AL7" s="3">
        <v>3</v>
      </c>
      <c r="AM7" s="3">
        <v>1</v>
      </c>
      <c r="AN7" s="3"/>
      <c r="AO7" s="3"/>
      <c r="AP7" s="3"/>
      <c r="AQ7" s="3"/>
      <c r="AR7" s="3">
        <v>0</v>
      </c>
      <c r="AS7" s="3" t="s">
        <v>108</v>
      </c>
      <c r="AT7" s="1" t="s">
        <v>143</v>
      </c>
      <c r="AU7" t="s">
        <v>79</v>
      </c>
      <c r="AV7" s="3" t="s">
        <v>144</v>
      </c>
      <c r="AW7" s="1">
        <v>2</v>
      </c>
      <c r="AX7">
        <v>35</v>
      </c>
    </row>
    <row r="8" spans="1:50" x14ac:dyDescent="0.3">
      <c r="A8" s="3" t="s">
        <v>80</v>
      </c>
      <c r="B8" s="3" t="s">
        <v>74</v>
      </c>
      <c r="C8" s="3">
        <v>90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</v>
      </c>
      <c r="P8" s="3">
        <v>2</v>
      </c>
      <c r="Q8" s="3">
        <v>2</v>
      </c>
      <c r="R8" s="3">
        <v>2</v>
      </c>
      <c r="S8" s="3">
        <v>2</v>
      </c>
      <c r="T8" s="3"/>
      <c r="U8" s="3"/>
      <c r="V8" s="3">
        <v>3</v>
      </c>
      <c r="W8" s="3">
        <v>2</v>
      </c>
      <c r="X8" s="3">
        <v>3</v>
      </c>
      <c r="Y8" s="3">
        <v>2</v>
      </c>
      <c r="Z8" s="3"/>
      <c r="AA8" s="3"/>
      <c r="AB8" s="3"/>
      <c r="AC8" s="3">
        <v>2</v>
      </c>
      <c r="AD8" s="3">
        <v>1</v>
      </c>
      <c r="AE8" s="3"/>
      <c r="AF8" s="3">
        <v>3</v>
      </c>
      <c r="AG8" s="3"/>
      <c r="AH8" s="3">
        <v>2</v>
      </c>
      <c r="AI8" s="3">
        <v>1</v>
      </c>
      <c r="AJ8" s="3">
        <v>3</v>
      </c>
      <c r="AK8" s="3"/>
      <c r="AL8" s="3">
        <v>2</v>
      </c>
      <c r="AM8" s="3">
        <v>2</v>
      </c>
      <c r="AN8" s="3"/>
      <c r="AO8" s="3"/>
      <c r="AP8" s="3"/>
      <c r="AQ8" s="3"/>
      <c r="AR8" s="3">
        <v>0</v>
      </c>
      <c r="AS8" s="3" t="s">
        <v>108</v>
      </c>
      <c r="AT8" s="1" t="s">
        <v>143</v>
      </c>
      <c r="AU8" t="s">
        <v>79</v>
      </c>
      <c r="AV8" s="3" t="s">
        <v>144</v>
      </c>
      <c r="AW8" s="1">
        <v>2</v>
      </c>
      <c r="AX8">
        <v>35</v>
      </c>
    </row>
    <row r="9" spans="1:50" x14ac:dyDescent="0.3">
      <c r="A9" s="3" t="s">
        <v>81</v>
      </c>
      <c r="B9" s="3" t="s">
        <v>75</v>
      </c>
      <c r="C9" s="3">
        <v>59</v>
      </c>
      <c r="D9" s="3">
        <v>1</v>
      </c>
      <c r="E9" s="3"/>
      <c r="F9" s="3"/>
      <c r="G9" s="3"/>
      <c r="H9" s="3">
        <v>3</v>
      </c>
      <c r="I9" s="3"/>
      <c r="J9" s="3"/>
      <c r="K9" s="3"/>
      <c r="L9" s="3"/>
      <c r="M9" s="3">
        <v>1</v>
      </c>
      <c r="N9" s="3">
        <v>1</v>
      </c>
      <c r="O9" s="3"/>
      <c r="P9" s="3">
        <v>1</v>
      </c>
      <c r="Q9" s="3">
        <v>0</v>
      </c>
      <c r="R9" s="3">
        <v>1</v>
      </c>
      <c r="S9" s="3"/>
      <c r="T9" s="3">
        <v>7</v>
      </c>
      <c r="U9" s="3">
        <v>4</v>
      </c>
      <c r="V9" s="3"/>
      <c r="W9" s="3"/>
      <c r="X9" s="3">
        <v>3</v>
      </c>
      <c r="Y9" s="3">
        <v>0</v>
      </c>
      <c r="Z9" s="3">
        <v>1</v>
      </c>
      <c r="AA9" s="3">
        <v>1</v>
      </c>
      <c r="AB9" s="3"/>
      <c r="AC9" s="3"/>
      <c r="AD9" s="3"/>
      <c r="AE9" s="3"/>
      <c r="AF9" s="3">
        <v>4</v>
      </c>
      <c r="AG9" s="3"/>
      <c r="AH9" s="3"/>
      <c r="AI9" s="3"/>
      <c r="AJ9" s="3"/>
      <c r="AK9" s="3"/>
      <c r="AL9" s="3">
        <v>3</v>
      </c>
      <c r="AM9" s="3"/>
      <c r="AN9" s="3">
        <v>1</v>
      </c>
      <c r="AO9" s="3"/>
      <c r="AP9" s="3"/>
      <c r="AQ9" s="3"/>
      <c r="AR9" s="3">
        <v>0</v>
      </c>
      <c r="AS9" s="3" t="s">
        <v>108</v>
      </c>
      <c r="AT9" s="1" t="s">
        <v>143</v>
      </c>
      <c r="AU9" t="s">
        <v>79</v>
      </c>
      <c r="AV9" s="3" t="s">
        <v>144</v>
      </c>
      <c r="AW9" s="1">
        <v>2</v>
      </c>
      <c r="AX9">
        <v>35</v>
      </c>
    </row>
    <row r="10" spans="1:50" x14ac:dyDescent="0.3">
      <c r="A10" s="3" t="s">
        <v>137</v>
      </c>
      <c r="B10" s="3" t="s">
        <v>136</v>
      </c>
      <c r="C10" s="3">
        <v>90</v>
      </c>
      <c r="D10" s="3">
        <v>1</v>
      </c>
      <c r="E10" s="3">
        <v>1</v>
      </c>
      <c r="F10" s="3">
        <v>1</v>
      </c>
      <c r="G10" s="3">
        <v>1</v>
      </c>
      <c r="H10" s="3"/>
      <c r="I10" s="3">
        <v>1</v>
      </c>
      <c r="J10" s="3"/>
      <c r="K10" s="3">
        <v>1</v>
      </c>
      <c r="L10" s="3"/>
      <c r="M10" s="3"/>
      <c r="N10" s="3">
        <v>1</v>
      </c>
      <c r="O10" s="3"/>
      <c r="P10" s="3"/>
      <c r="Q10" s="3"/>
      <c r="R10" s="3"/>
      <c r="S10" s="3">
        <v>1</v>
      </c>
      <c r="T10" s="3">
        <v>5</v>
      </c>
      <c r="U10" s="3">
        <v>4</v>
      </c>
      <c r="V10" s="3">
        <v>1</v>
      </c>
      <c r="W10" s="3">
        <v>1</v>
      </c>
      <c r="X10" s="3">
        <v>2</v>
      </c>
      <c r="Y10" s="3">
        <v>1</v>
      </c>
      <c r="Z10" s="3">
        <v>1</v>
      </c>
      <c r="AA10" s="3">
        <v>0</v>
      </c>
      <c r="AB10" s="3"/>
      <c r="AC10" s="3"/>
      <c r="AD10" s="3"/>
      <c r="AE10" s="3"/>
      <c r="AF10" s="3">
        <v>3</v>
      </c>
      <c r="AG10" s="3"/>
      <c r="AH10" s="3">
        <v>2</v>
      </c>
      <c r="AI10" s="3"/>
      <c r="AJ10" s="3">
        <v>2</v>
      </c>
      <c r="AK10" s="3"/>
      <c r="AL10" s="3">
        <v>2</v>
      </c>
      <c r="AM10" s="3">
        <v>1</v>
      </c>
      <c r="AN10" s="3"/>
      <c r="AO10" s="3"/>
      <c r="AP10" s="3"/>
      <c r="AQ10" s="3"/>
      <c r="AR10" s="3">
        <v>0</v>
      </c>
      <c r="AS10" s="3" t="s">
        <v>108</v>
      </c>
      <c r="AT10" s="1" t="s">
        <v>143</v>
      </c>
      <c r="AU10" t="s">
        <v>79</v>
      </c>
      <c r="AV10" s="3" t="s">
        <v>144</v>
      </c>
      <c r="AW10" s="1">
        <v>2</v>
      </c>
      <c r="AX10">
        <v>35</v>
      </c>
    </row>
    <row r="11" spans="1:50" x14ac:dyDescent="0.3">
      <c r="A11" s="3" t="s">
        <v>141</v>
      </c>
      <c r="B11" s="3" t="s">
        <v>136</v>
      </c>
      <c r="C11" s="3">
        <v>65</v>
      </c>
      <c r="D11" s="3"/>
      <c r="E11" s="3"/>
      <c r="F11" s="3">
        <v>1</v>
      </c>
      <c r="G11" s="3">
        <v>2</v>
      </c>
      <c r="H11" s="3"/>
      <c r="I11" s="3"/>
      <c r="J11" s="3"/>
      <c r="K11" s="3"/>
      <c r="L11" s="3"/>
      <c r="M11" s="3">
        <v>1</v>
      </c>
      <c r="N11" s="3">
        <v>1</v>
      </c>
      <c r="O11" s="3">
        <v>2</v>
      </c>
      <c r="P11" s="3"/>
      <c r="Q11" s="3"/>
      <c r="R11" s="3"/>
      <c r="S11" s="3"/>
      <c r="T11" s="3">
        <v>1</v>
      </c>
      <c r="U11" s="3">
        <v>1</v>
      </c>
      <c r="V11" s="3">
        <v>1</v>
      </c>
      <c r="W11" s="3">
        <v>0</v>
      </c>
      <c r="X11" s="3">
        <v>1</v>
      </c>
      <c r="Y11" s="3">
        <v>1</v>
      </c>
      <c r="Z11" s="3">
        <v>1</v>
      </c>
      <c r="AA11" s="3">
        <v>0</v>
      </c>
      <c r="AB11" s="3"/>
      <c r="AC11" s="3">
        <v>1</v>
      </c>
      <c r="AD11" s="3"/>
      <c r="AE11" s="3"/>
      <c r="AF11" s="3"/>
      <c r="AG11" s="3"/>
      <c r="AH11" s="3">
        <v>2</v>
      </c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>
        <v>0</v>
      </c>
      <c r="AS11" s="3" t="s">
        <v>108</v>
      </c>
      <c r="AT11" s="1" t="s">
        <v>143</v>
      </c>
      <c r="AU11" t="s">
        <v>79</v>
      </c>
      <c r="AV11" s="3" t="s">
        <v>144</v>
      </c>
      <c r="AW11" s="1">
        <v>2</v>
      </c>
      <c r="AX11">
        <v>35</v>
      </c>
    </row>
    <row r="12" spans="1:50" x14ac:dyDescent="0.3">
      <c r="A12" s="3" t="s">
        <v>147</v>
      </c>
      <c r="B12" s="3" t="s">
        <v>76</v>
      </c>
      <c r="C12" s="3">
        <v>90</v>
      </c>
      <c r="D12" s="3">
        <v>3</v>
      </c>
      <c r="E12" s="3">
        <v>3</v>
      </c>
      <c r="F12" s="3">
        <v>1</v>
      </c>
      <c r="G12" s="3"/>
      <c r="H12" s="3"/>
      <c r="I12" s="3"/>
      <c r="J12" s="3"/>
      <c r="K12" s="3">
        <v>3</v>
      </c>
      <c r="L12" s="3">
        <v>1</v>
      </c>
      <c r="M12" s="3"/>
      <c r="N12" s="3">
        <v>1</v>
      </c>
      <c r="O12" s="3">
        <v>1</v>
      </c>
      <c r="P12" s="3">
        <v>2</v>
      </c>
      <c r="Q12" s="3">
        <v>2</v>
      </c>
      <c r="R12" s="3"/>
      <c r="S12" s="3"/>
      <c r="T12" s="3">
        <v>2</v>
      </c>
      <c r="U12" s="3">
        <v>1</v>
      </c>
      <c r="V12" s="3"/>
      <c r="W12" s="3"/>
      <c r="X12" s="3">
        <v>9</v>
      </c>
      <c r="Y12" s="3">
        <v>6</v>
      </c>
      <c r="Z12" s="3">
        <v>3</v>
      </c>
      <c r="AA12" s="3">
        <v>2</v>
      </c>
      <c r="AB12" s="3">
        <v>1</v>
      </c>
      <c r="AC12" s="3">
        <v>1</v>
      </c>
      <c r="AD12" s="3"/>
      <c r="AE12" s="3"/>
      <c r="AF12" s="3">
        <v>2</v>
      </c>
      <c r="AG12" s="3"/>
      <c r="AH12" s="3"/>
      <c r="AI12" s="3"/>
      <c r="AJ12" s="3"/>
      <c r="AK12" s="3"/>
      <c r="AL12" s="3">
        <v>1</v>
      </c>
      <c r="AM12" s="3">
        <v>3</v>
      </c>
      <c r="AN12" s="3"/>
      <c r="AO12" s="3"/>
      <c r="AP12" s="3"/>
      <c r="AQ12" s="3"/>
      <c r="AR12" s="3">
        <v>0</v>
      </c>
      <c r="AS12" s="3" t="s">
        <v>108</v>
      </c>
      <c r="AT12" s="1" t="s">
        <v>143</v>
      </c>
      <c r="AU12" t="s">
        <v>79</v>
      </c>
      <c r="AV12" s="3" t="s">
        <v>144</v>
      </c>
      <c r="AW12" s="1">
        <v>2</v>
      </c>
      <c r="AX12">
        <v>35</v>
      </c>
    </row>
    <row r="13" spans="1:50" x14ac:dyDescent="0.3">
      <c r="A13" s="3" t="s">
        <v>148</v>
      </c>
      <c r="B13" s="3" t="s">
        <v>75</v>
      </c>
      <c r="C13" s="3">
        <v>31</v>
      </c>
      <c r="D13" s="3"/>
      <c r="E13" s="3"/>
      <c r="F13" s="3">
        <v>2</v>
      </c>
      <c r="G13" s="3"/>
      <c r="H13" s="3"/>
      <c r="I13" s="3"/>
      <c r="J13" s="3"/>
      <c r="K13" s="3"/>
      <c r="L13" s="3">
        <v>2</v>
      </c>
      <c r="M13" s="3"/>
      <c r="N13" s="3"/>
      <c r="O13" s="3"/>
      <c r="P13" s="3">
        <v>1</v>
      </c>
      <c r="Q13" s="3">
        <v>0</v>
      </c>
      <c r="R13" s="3"/>
      <c r="S13" s="3"/>
      <c r="T13" s="3"/>
      <c r="W13" s="3"/>
      <c r="X13" s="3">
        <v>1</v>
      </c>
      <c r="Y13" s="3">
        <v>0</v>
      </c>
      <c r="Z13" s="3"/>
      <c r="AA13" s="3"/>
      <c r="AB13" s="3"/>
      <c r="AC13" s="3"/>
      <c r="AD13" s="3"/>
      <c r="AE13" s="3"/>
      <c r="AF13" s="3">
        <v>3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0</v>
      </c>
      <c r="AS13" s="3" t="s">
        <v>153</v>
      </c>
      <c r="AT13" s="1" t="s">
        <v>143</v>
      </c>
      <c r="AU13" t="s">
        <v>79</v>
      </c>
      <c r="AV13" s="3" t="s">
        <v>144</v>
      </c>
      <c r="AW13" s="1">
        <v>2</v>
      </c>
      <c r="AX13">
        <v>35</v>
      </c>
    </row>
    <row r="14" spans="1:50" x14ac:dyDescent="0.3">
      <c r="A14" s="3" t="s">
        <v>149</v>
      </c>
      <c r="B14" s="3" t="s">
        <v>135</v>
      </c>
      <c r="C14" s="3">
        <v>31</v>
      </c>
      <c r="D14" s="3"/>
      <c r="E14" s="3"/>
      <c r="F14" s="3"/>
      <c r="G14" s="3"/>
      <c r="H14" s="3"/>
      <c r="I14" s="3"/>
      <c r="J14" s="3"/>
      <c r="K14" s="3"/>
      <c r="L14" s="3"/>
      <c r="M14" s="3">
        <v>1</v>
      </c>
      <c r="N14" s="3"/>
      <c r="O14" s="3">
        <v>1</v>
      </c>
      <c r="P14" s="3"/>
      <c r="Q14" s="3"/>
      <c r="R14" s="3">
        <v>1</v>
      </c>
      <c r="S14" s="3"/>
      <c r="T14" s="3">
        <v>2</v>
      </c>
      <c r="U14" s="3">
        <v>2</v>
      </c>
      <c r="V14" s="3">
        <v>3</v>
      </c>
      <c r="W14" s="3">
        <v>1</v>
      </c>
      <c r="X14" s="3">
        <v>3</v>
      </c>
      <c r="Y14" s="3">
        <v>1</v>
      </c>
      <c r="Z14" s="3">
        <v>1</v>
      </c>
      <c r="AA14" s="3">
        <v>1</v>
      </c>
      <c r="AB14" s="3">
        <v>1</v>
      </c>
      <c r="AC14" s="3"/>
      <c r="AD14" s="3"/>
      <c r="AE14" s="3"/>
      <c r="AF14" s="3">
        <v>1</v>
      </c>
      <c r="AG14" s="3"/>
      <c r="AH14" s="3"/>
      <c r="AI14" s="3">
        <v>1</v>
      </c>
      <c r="AJ14" s="3"/>
      <c r="AK14" s="3"/>
      <c r="AL14" s="3">
        <v>2</v>
      </c>
      <c r="AM14" s="3">
        <v>2</v>
      </c>
      <c r="AN14" s="3"/>
      <c r="AO14" s="3"/>
      <c r="AP14" s="3"/>
      <c r="AQ14" s="3"/>
      <c r="AR14" s="3">
        <v>0</v>
      </c>
      <c r="AS14" s="3" t="s">
        <v>153</v>
      </c>
      <c r="AT14" s="1" t="s">
        <v>143</v>
      </c>
      <c r="AU14" t="s">
        <v>79</v>
      </c>
      <c r="AV14" s="3" t="s">
        <v>144</v>
      </c>
      <c r="AW14" s="1">
        <v>2</v>
      </c>
      <c r="AX14">
        <v>35</v>
      </c>
    </row>
    <row r="15" spans="1:50" x14ac:dyDescent="0.3">
      <c r="A15" s="3" t="s">
        <v>150</v>
      </c>
      <c r="B15" s="3" t="s">
        <v>74</v>
      </c>
      <c r="C15" s="3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</v>
      </c>
      <c r="S15" s="3"/>
      <c r="T15" s="3">
        <v>1</v>
      </c>
      <c r="U15" s="3">
        <v>1</v>
      </c>
      <c r="V15" s="3">
        <v>1</v>
      </c>
      <c r="W15" s="3">
        <v>1</v>
      </c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1</v>
      </c>
      <c r="AM15" s="3">
        <v>1</v>
      </c>
      <c r="AN15" s="3"/>
      <c r="AO15" s="3"/>
      <c r="AP15" s="3"/>
      <c r="AQ15" s="3"/>
      <c r="AR15" s="3">
        <v>0</v>
      </c>
      <c r="AS15" s="3" t="s">
        <v>153</v>
      </c>
      <c r="AT15" s="1" t="s">
        <v>143</v>
      </c>
      <c r="AU15" t="s">
        <v>79</v>
      </c>
      <c r="AV15" s="3" t="s">
        <v>144</v>
      </c>
      <c r="AW15" s="1">
        <v>2</v>
      </c>
      <c r="AX15">
        <v>35</v>
      </c>
    </row>
    <row r="16" spans="1:50" x14ac:dyDescent="0.3">
      <c r="A16" s="3" t="s">
        <v>151</v>
      </c>
      <c r="B16" s="3" t="s">
        <v>136</v>
      </c>
      <c r="C16" s="3">
        <v>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</v>
      </c>
      <c r="O16" s="3"/>
      <c r="P16" s="3">
        <v>1</v>
      </c>
      <c r="Q16" s="3">
        <v>0</v>
      </c>
      <c r="R16" s="3"/>
      <c r="S16" s="3"/>
      <c r="T16" s="3">
        <v>1</v>
      </c>
      <c r="U16" s="3">
        <v>0</v>
      </c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>
        <v>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</v>
      </c>
      <c r="AS16" s="3" t="s">
        <v>153</v>
      </c>
      <c r="AT16" s="1" t="s">
        <v>143</v>
      </c>
      <c r="AU16" t="s">
        <v>79</v>
      </c>
      <c r="AV16" s="3" t="s">
        <v>144</v>
      </c>
      <c r="AW16" s="1">
        <v>2</v>
      </c>
      <c r="AX16">
        <v>35</v>
      </c>
    </row>
    <row r="17" spans="1:50" x14ac:dyDescent="0.3">
      <c r="A17" s="3" t="s">
        <v>152</v>
      </c>
      <c r="B17" s="3" t="s">
        <v>134</v>
      </c>
      <c r="C17" s="3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>
        <v>1</v>
      </c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0</v>
      </c>
      <c r="AS17" s="3" t="s">
        <v>153</v>
      </c>
      <c r="AT17" s="1" t="s">
        <v>143</v>
      </c>
      <c r="AU17" t="s">
        <v>79</v>
      </c>
      <c r="AV17" s="3" t="s">
        <v>144</v>
      </c>
      <c r="AW17" s="1">
        <v>2</v>
      </c>
      <c r="AX17">
        <v>35</v>
      </c>
    </row>
    <row r="18" spans="1:5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20" spans="1:50" x14ac:dyDescent="0.3">
      <c r="Q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802F-9538-4F09-8976-8ED67871CE0D}">
  <dimension ref="A1:W3"/>
  <sheetViews>
    <sheetView zoomScale="70" zoomScaleNormal="70" workbookViewId="0">
      <selection activeCell="H23" sqref="H23"/>
    </sheetView>
  </sheetViews>
  <sheetFormatPr defaultRowHeight="14.4" x14ac:dyDescent="0.3"/>
  <cols>
    <col min="1" max="1" width="11" customWidth="1"/>
    <col min="2" max="2" width="6.44140625" bestFit="1" customWidth="1"/>
    <col min="3" max="3" width="4.6640625" bestFit="1" customWidth="1"/>
    <col min="4" max="4" width="15.109375" bestFit="1" customWidth="1"/>
    <col min="5" max="5" width="13.44140625" bestFit="1" customWidth="1"/>
    <col min="6" max="6" width="19" bestFit="1" customWidth="1"/>
    <col min="7" max="7" width="17.33203125" bestFit="1" customWidth="1"/>
    <col min="8" max="8" width="19.109375" bestFit="1" customWidth="1"/>
    <col min="9" max="9" width="17.44140625" bestFit="1" customWidth="1"/>
    <col min="10" max="10" width="17.77734375" bestFit="1" customWidth="1"/>
    <col min="11" max="11" width="16" bestFit="1" customWidth="1"/>
    <col min="12" max="12" width="15.109375" customWidth="1"/>
    <col min="13" max="13" width="13.88671875" customWidth="1"/>
    <col min="14" max="14" width="16.21875" customWidth="1"/>
    <col min="15" max="15" width="15.33203125" customWidth="1"/>
    <col min="16" max="16" width="14" customWidth="1"/>
    <col min="17" max="17" width="13.109375" customWidth="1"/>
    <col min="18" max="18" width="11.109375" customWidth="1"/>
    <col min="19" max="19" width="10.44140625" customWidth="1"/>
    <col min="20" max="20" width="7.21875" customWidth="1"/>
    <col min="21" max="21" width="7.44140625" customWidth="1"/>
    <col min="22" max="22" width="8" bestFit="1" customWidth="1"/>
  </cols>
  <sheetData>
    <row r="1" spans="1:23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77</v>
      </c>
    </row>
    <row r="2" spans="1:23" x14ac:dyDescent="0.3">
      <c r="A2" s="1" t="s">
        <v>143</v>
      </c>
      <c r="B2" s="1">
        <v>2</v>
      </c>
      <c r="C2" t="s">
        <v>66</v>
      </c>
      <c r="D2">
        <v>9</v>
      </c>
      <c r="E2">
        <v>4</v>
      </c>
      <c r="F2">
        <v>3</v>
      </c>
      <c r="G2">
        <v>3</v>
      </c>
      <c r="H2">
        <v>4</v>
      </c>
      <c r="I2">
        <v>1</v>
      </c>
      <c r="J2">
        <v>2</v>
      </c>
      <c r="K2">
        <v>0</v>
      </c>
      <c r="L2">
        <v>7</v>
      </c>
      <c r="M2">
        <v>2</v>
      </c>
      <c r="N2">
        <v>2</v>
      </c>
      <c r="O2">
        <v>2</v>
      </c>
      <c r="P2">
        <v>3</v>
      </c>
      <c r="Q2">
        <v>0</v>
      </c>
      <c r="R2">
        <v>3</v>
      </c>
      <c r="S2">
        <v>0</v>
      </c>
      <c r="T2">
        <v>2</v>
      </c>
      <c r="U2">
        <v>0</v>
      </c>
      <c r="V2" t="s">
        <v>154</v>
      </c>
      <c r="W2">
        <v>35</v>
      </c>
    </row>
    <row r="3" spans="1:23" x14ac:dyDescent="0.3">
      <c r="A3" s="1" t="s">
        <v>143</v>
      </c>
      <c r="B3" s="1">
        <v>2</v>
      </c>
      <c r="C3" t="s">
        <v>67</v>
      </c>
      <c r="D3">
        <v>9</v>
      </c>
      <c r="E3">
        <v>5</v>
      </c>
      <c r="F3">
        <v>4</v>
      </c>
      <c r="G3">
        <v>2</v>
      </c>
      <c r="H3">
        <v>4</v>
      </c>
      <c r="I3">
        <v>2</v>
      </c>
      <c r="J3">
        <v>1</v>
      </c>
      <c r="K3">
        <v>1</v>
      </c>
      <c r="L3">
        <v>6</v>
      </c>
      <c r="M3">
        <v>1</v>
      </c>
      <c r="N3">
        <v>3</v>
      </c>
      <c r="O3">
        <v>4</v>
      </c>
      <c r="P3">
        <v>4</v>
      </c>
      <c r="Q3">
        <v>1</v>
      </c>
      <c r="R3">
        <v>1</v>
      </c>
      <c r="S3">
        <v>1</v>
      </c>
      <c r="T3">
        <v>3</v>
      </c>
      <c r="U3">
        <v>0</v>
      </c>
      <c r="V3" t="s">
        <v>155</v>
      </c>
      <c r="W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2026-04-22T13:48:00Z</dcterms:modified>
  <cp:category/>
  <cp:contentStatus/>
</cp:coreProperties>
</file>