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"/>
    </mc:Choice>
  </mc:AlternateContent>
  <xr:revisionPtr revIDLastSave="972" documentId="8_{BB149310-9C70-4F0D-AF38-12983800A995}" xr6:coauthVersionLast="47" xr6:coauthVersionMax="47" xr10:uidLastSave="{50A3E4CC-9D09-4495-9E2D-9BEE91B70D64}"/>
  <bookViews>
    <workbookView xWindow="-108" yWindow="-108" windowWidth="23256" windowHeight="13896" activeTab="1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<sst xmlns="http://schemas.openxmlformats.org/spreadsheetml/2006/main" count="229" uniqueCount="152">
  <si>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</si>
  <si>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</si>
  <si>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</si>
  <si>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</si>
  <si>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</si>
  <si>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</si>
  <si>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</si>
  <si>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</si>
  <si>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</si>
  <si>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</si>
  <si>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</si>
  <si>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</si>
  <si>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</si>
  <si>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</si>
  <si>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</si>
  <si>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</si>
  <si>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</si>
  <si>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</si>
  <si>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</si>
  <si>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</si>
  <si>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</si>
  <si>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</si>
  <si>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</si>
  <si>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</si>
  <si>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</si>
  <si>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</si>
  <si>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</si>
  <si>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</si>
  <si>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</si>
  <si>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</si>
  <si>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</si>
  <si>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</si>
  <si>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</si>
  <si>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</si>
  <si>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</si>
  <si>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</si>
  <si>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</si>
  <si>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</si>
  <si>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</si>
  <si>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</si>
  <si>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</si>
  <si>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</si>
  <si>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</si>
  <si>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</si>
  <si>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</si>
  <si>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</si>
  <si>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</si>
  <si>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</si>
  <si>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</si>
  <si>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</si>
  <si>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</si>
  <si>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</si>
  <si>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</si>
  <si>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</si>
  <si>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</si>
  <si>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</si>
  <si>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</si>
  <si>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</si>
  <si>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</si>
  <si>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</si>
  <si>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</si>
  <si>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</si>
  <si>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</si>
  <si>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</si>
  <si>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</si>
  <si>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</si>
  <si>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</si>
  <si>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</si>
  <si>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</si>
  <si>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</si>
  <si>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</si>
  <si>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</si>
  <si>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</si>
  <si>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</si>
  <si>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</si>
  <si>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</si>
  <si>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</si>
  <si>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</si>
  <si>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</si>
  <si>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</si>
  <si>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</si>
  <si>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</si>
  <si>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</si>
  <si>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</si>
  <si>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</si>
  <si>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</si>
  <si>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</si>
  <si>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</si>
  <si>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</si>
  <si>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</si>
  <si>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</si>
  <si>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</si>
  <si>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</si>
  <si>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</si>
  <si>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</si>
  <si>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</si>
  <si>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</si>
  <si>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</si>
  <si>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</si>
  <si>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</si>
  <si>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</si>
  <si>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</si>
  <si>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</si>
  <si>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</si>
  <si>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</si>
  <si>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</si>
  <si>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</si>
  <si>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</si>
  <si>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</si>
  <si>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</si>
  <si>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</si>
  <si>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</si>
  <si>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</si>
  <si>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</si>
  <si>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</si>
  <si>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</si>
  <si>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</si>
  <si>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</si>
  <si>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</si>
  <si>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</si>
  <si>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</si>
  <si>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</si>
  <si>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</si>
  <si>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</si>
  <si>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</si>
  <si>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</si>
  <si>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</si>
  <si>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ΤΑΣΣΗΣ</t>
  </si>
  <si>
    <t>ΔΑΝΙΔΗΣ</t>
  </si>
  <si>
    <t>ΚΩΤΕΛΗΣ</t>
  </si>
  <si>
    <t>ΠΑΠΑΔΟΠΟΥΛΟΣ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</si>
  <si>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</si>
  <si>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</si>
  <si>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</si>
  <si>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</si>
  <si>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</si>
  <si>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</si>
  <si>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</si>
  <si>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</si>
  <si>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</si>
  <si>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ΤΣΙΜΠΙΡΗΣ</t>
  </si>
  <si>
    <t>ΚΑΚΑΤΑΤΣΙΟΣ</t>
  </si>
  <si>
    <t>ΚΑΛΠΑΚΙΔΗΣ</t>
  </si>
  <si>
    <t>ΑΜΠΕΡΙΑΔΗΣ</t>
  </si>
  <si>
    <t>ΠΑΟΚ Κρηστωνης</t>
  </si>
  <si>
    <t>Νικη</t>
  </si>
  <si>
    <t>Εντος</t>
  </si>
  <si>
    <t>Πλαστικο</t>
  </si>
  <si>
    <t>ΜΑΝΩΛΗΣ</t>
  </si>
  <si>
    <t>ΘΕΟΔΟΣΙΑΔΗΣ</t>
  </si>
  <si>
    <t>ΔΑΡΑΗΣ</t>
  </si>
  <si>
    <t>ΚΥΡΑΝΑΣ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</si>
</sst>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workbookViewId="0">
      <selection activeCell="B2" sqref="B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107</v>
      </c>
      <c r="N1" s="4" t="s">
        <v>80</v>
      </c>
      <c r="O1" s="4" t="s">
        <v>81</v>
      </c>
      <c r="P1" s="4" t="s">
        <v>108</v>
      </c>
      <c r="Q1" s="4" t="s">
        <v>91</v>
      </c>
      <c r="R1" s="4" t="s">
        <v>69</v>
      </c>
      <c r="S1" s="4" t="s">
        <v>109</v>
      </c>
      <c r="T1" s="4" t="s">
        <v>92</v>
      </c>
      <c r="U1" s="4" t="s">
        <v>82</v>
      </c>
      <c r="V1" s="4" t="s">
        <v>110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103</v>
      </c>
    </row>
    <row r="2" spans="1:56" x14ac:dyDescent="0.3">
      <c r="A2" s="1">
        <f>B2+C2</f>
        <v>3</v>
      </c>
      <c r="B2" s="1">
        <f>SUM(Sheet2!K:K)</f>
        <v>2</v>
      </c>
      <c r="C2" s="1">
        <f>SUM(Sheet2!L:L)</f>
        <v>1</v>
      </c>
      <c r="D2" s="1">
        <f>SUM(Sheet2!M:M)</f>
        <v>3</v>
      </c>
      <c r="E2" s="1">
        <f>F2+G2+H2</f>
        <v>12</v>
      </c>
      <c r="F2" s="1">
        <f>SUM(Sheet2!E:E) + SUM(Sheet2!H:H)</f>
        <v>8</v>
      </c>
      <c r="G2" s="1">
        <f>SUM(Sheet2!F:F) + SUM(Sheet2!I:I)</f>
        <v>3</v>
      </c>
      <c r="H2" s="1">
        <f>SUM(Sheet2!G:G) + SUM(Sheet2!J:J)</f>
        <v>1</v>
      </c>
      <c r="I2" s="1">
        <f>SUM(Sheet2!E:E) + SUM(Sheet2!F:F) + SUM(Sheet2!G:G)</f>
        <v>5</v>
      </c>
      <c r="J2" s="1">
        <f>SUM(Sheet2!H:H) + SUM(Sheet2!I:I) + SUM(Sheet2!J:J)</f>
        <v>7</v>
      </c>
      <c r="K2" s="1">
        <v>5</v>
      </c>
      <c r="L2" s="1">
        <v>1</v>
      </c>
      <c r="M2" s="1">
        <v>1</v>
      </c>
      <c r="N2" s="1">
        <v>7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2</v>
      </c>
      <c r="U2" s="1">
        <v>0</v>
      </c>
      <c r="V2" s="1">
        <v>0</v>
      </c>
      <c r="W2" s="1">
        <f>SUM(Sheet2!AR:AR)</f>
        <v>9</v>
      </c>
      <c r="X2" s="1">
        <f>SUM(Sheet2!AS:AS)</f>
        <v>12</v>
      </c>
      <c r="Y2" s="1">
        <f>SUM(Sheet2!Z:Z)</f>
        <v>31</v>
      </c>
      <c r="Z2" s="1">
        <f>SUM(Sheet2!AA:AA)</f>
        <v>15</v>
      </c>
      <c r="AA2" s="2">
        <f>Z2/Y2</f>
        <v>0.4838709677419355</v>
      </c>
      <c r="AB2" s="1">
        <f>SUM(Sheet2!AB:AB)</f>
        <v>26</v>
      </c>
      <c r="AC2" s="1">
        <f>SUM(Sheet2!AC:AC)</f>
        <v>17</v>
      </c>
      <c r="AD2" s="2">
        <f>AC2/AB2</f>
        <v>0.65384615384615385</v>
      </c>
      <c r="AE2" s="1">
        <f>SUM(Sheet2!AD:AD)</f>
        <v>51</v>
      </c>
      <c r="AF2" s="1">
        <f>SUM(Sheet2!AE:AE)</f>
        <v>30</v>
      </c>
      <c r="AG2" s="2">
        <f>AF2/AE2</f>
        <v>0.58823529411764708</v>
      </c>
      <c r="AH2" s="1">
        <f>SUM(Sheet2!X:X)</f>
        <v>26</v>
      </c>
      <c r="AI2" s="1">
        <f>SUM(Sheet2!Y:Y)</f>
        <v>10</v>
      </c>
      <c r="AJ2" s="2">
        <f>AI2/AH2</f>
        <v>0.38461538461538464</v>
      </c>
      <c r="AK2" s="1">
        <f>SUM(Sheet2!AJ:AJ)</f>
        <v>4</v>
      </c>
      <c r="AL2" s="1">
        <f>SUM(Sheet2!AK:AK)</f>
        <v>0</v>
      </c>
      <c r="AM2" s="1">
        <f>SUM(Sheet2!AL:AL)</f>
        <v>38</v>
      </c>
      <c r="AN2" s="1">
        <f>SUM(Sheet2!AM:AM)</f>
        <v>0</v>
      </c>
      <c r="AO2" s="1">
        <f>SUM(Sheet2!AN:AN)</f>
        <v>19</v>
      </c>
      <c r="AP2" s="1">
        <f>SUM(Sheet2!AO:AO)</f>
        <v>0</v>
      </c>
      <c r="AQ2" s="1">
        <f>SUM(Sheet2!AP:AP)</f>
        <v>11</v>
      </c>
      <c r="AR2" s="1">
        <f>SUM(Sheet2!AQ:AQ)</f>
        <v>0</v>
      </c>
      <c r="AS2" s="1" t="s">
        <v>144</v>
      </c>
      <c r="AT2" s="1" t="s">
        <v>51</v>
      </c>
      <c r="AU2" s="1">
        <v>3</v>
      </c>
      <c r="AV2" s="1">
        <v>1</v>
      </c>
      <c r="AW2" s="1">
        <f>SUM(Sheet2!AY:AY)</f>
        <v>4</v>
      </c>
      <c r="AX2" s="1">
        <f>SUM(Sheet2!AZ:AZ)</f>
        <v>0</v>
      </c>
      <c r="AY2" s="1" t="s">
        <v>145</v>
      </c>
      <c r="AZ2" s="1">
        <v>1</v>
      </c>
      <c r="BA2" t="s">
        <v>146</v>
      </c>
      <c r="BB2" t="s">
        <v>147</v>
      </c>
      <c r="BC2">
        <v>3</v>
      </c>
      <c r="BD2" s="7">
        <v>46298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tabSelected="1" zoomScale="70" zoomScaleNormal="70" workbookViewId="0">
      <pane xSplit="1" topLeftCell="B1" activePane="topRight" state="frozen"/>
      <selection pane="topRight" activeCell="F13" sqref="F13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119</v>
      </c>
      <c r="P1" s="4" t="s">
        <v>120</v>
      </c>
      <c r="Q1" s="4" t="s">
        <v>121</v>
      </c>
      <c r="R1" s="4" t="s">
        <v>125</v>
      </c>
      <c r="S1" s="4" t="s">
        <v>122</v>
      </c>
      <c r="T1" s="4" t="s">
        <v>126</v>
      </c>
      <c r="U1" s="4" t="s">
        <v>123</v>
      </c>
      <c r="V1" s="4" t="s">
        <v>124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105</v>
      </c>
      <c r="AG1" s="4" t="s">
        <v>106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113</v>
      </c>
      <c r="AT1" s="4" t="s">
        <v>111</v>
      </c>
      <c r="AU1" s="4" t="s">
        <v>112</v>
      </c>
      <c r="AV1" s="4" t="s">
        <v>114</v>
      </c>
      <c r="AW1" s="4" t="s">
        <v>115</v>
      </c>
      <c r="AX1" s="4" t="s">
        <v>116</v>
      </c>
      <c r="AY1" s="4" t="s">
        <v>36</v>
      </c>
      <c r="AZ1" s="4" t="s">
        <v>37</v>
      </c>
      <c r="BA1" s="4" t="s">
        <v>117</v>
      </c>
      <c r="BB1" s="4" t="s">
        <v>118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140</v>
      </c>
      <c r="B2" s="3" t="s">
        <v>44</v>
      </c>
      <c r="C2" s="3">
        <v>92</v>
      </c>
      <c r="D2" s="3"/>
      <c r="E2" s="3"/>
      <c r="F2" s="3"/>
      <c r="G2" s="3"/>
      <c r="H2" s="3"/>
      <c r="I2" s="3"/>
      <c r="J2" s="3"/>
      <c r="K2" s="3"/>
      <c r="L2" s="3"/>
      <c r="O2">
        <v>11</v>
      </c>
      <c r="P2">
        <v>12</v>
      </c>
      <c r="Q2">
        <v>16</v>
      </c>
      <c r="R2">
        <v>5</v>
      </c>
      <c r="S2">
        <v>13</v>
      </c>
      <c r="T2">
        <v>6</v>
      </c>
      <c r="W2" s="3"/>
      <c r="X2" s="3">
        <v>13</v>
      </c>
      <c r="Y2" s="3">
        <v>6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>
        <v>1</v>
      </c>
      <c r="AY2" s="3"/>
      <c r="AZ2" s="3"/>
      <c r="BA2" s="3">
        <v>3</v>
      </c>
      <c r="BB2" s="3">
        <v>1</v>
      </c>
      <c r="BC2" s="3">
        <v>2</v>
      </c>
      <c r="BD2" s="3">
        <v>1</v>
      </c>
      <c r="BE2" s="3" t="s">
        <v>79</v>
      </c>
      <c r="BF2" t="s">
        <v>144</v>
      </c>
      <c r="BG2" t="s">
        <v>51</v>
      </c>
      <c r="BH2" t="s">
        <v>145</v>
      </c>
      <c r="BI2" s="1">
        <v>1</v>
      </c>
      <c r="BJ2">
        <v>3</v>
      </c>
    </row>
    <row r="3" spans="1:62" x14ac:dyDescent="0.3">
      <c r="A3" s="3" t="s">
        <v>141</v>
      </c>
      <c r="B3" s="3" t="s">
        <v>99</v>
      </c>
      <c r="C3" s="3">
        <v>79</v>
      </c>
      <c r="D3" s="3">
        <v>1</v>
      </c>
      <c r="E3" s="3">
        <v>1</v>
      </c>
      <c r="F3" s="3"/>
      <c r="G3" s="3"/>
      <c r="H3" s="3"/>
      <c r="I3" s="3"/>
      <c r="J3" s="3"/>
      <c r="K3" s="3">
        <v>1</v>
      </c>
      <c r="M3" s="3"/>
      <c r="N3" s="3"/>
      <c r="O3">
        <v>8</v>
      </c>
      <c r="P3">
        <v>8</v>
      </c>
      <c r="Q3">
        <v>12</v>
      </c>
      <c r="R3">
        <v>4</v>
      </c>
      <c r="S3">
        <v>3</v>
      </c>
      <c r="T3" s="3"/>
      <c r="U3">
        <v>1</v>
      </c>
      <c r="V3">
        <v>1</v>
      </c>
      <c r="W3" s="3"/>
      <c r="X3" s="3">
        <v>1</v>
      </c>
      <c r="Y3" s="3"/>
      <c r="Z3" s="3"/>
      <c r="AA3" s="3"/>
      <c r="AB3" s="3">
        <v>4</v>
      </c>
      <c r="AC3" s="3">
        <v>2</v>
      </c>
      <c r="AD3" s="3">
        <v>5</v>
      </c>
      <c r="AE3" s="3">
        <v>3</v>
      </c>
      <c r="AF3" s="3">
        <v>2</v>
      </c>
      <c r="AG3" s="3">
        <v>1</v>
      </c>
      <c r="AH3" s="3"/>
      <c r="AI3" s="3">
        <v>1</v>
      </c>
      <c r="AJ3" s="3"/>
      <c r="AK3" s="3"/>
      <c r="AL3" s="3">
        <v>4</v>
      </c>
      <c r="AM3" s="3"/>
      <c r="AN3" s="3">
        <v>3</v>
      </c>
      <c r="AO3" s="3"/>
      <c r="AP3" s="3"/>
      <c r="AQ3" s="3"/>
      <c r="AR3" s="3"/>
      <c r="AS3" s="3">
        <v>2</v>
      </c>
      <c r="AT3" s="3"/>
      <c r="AU3" s="3"/>
      <c r="AV3" s="3"/>
      <c r="AW3" s="3"/>
      <c r="AX3" s="3"/>
      <c r="AY3" s="3">
        <v>1</v>
      </c>
      <c r="AZ3" s="3"/>
      <c r="BA3" s="3"/>
      <c r="BB3" s="3"/>
      <c r="BC3" s="3"/>
      <c r="BD3" s="3">
        <v>1</v>
      </c>
      <c r="BE3" s="3" t="s">
        <v>79</v>
      </c>
      <c r="BF3" t="s">
        <v>144</v>
      </c>
      <c r="BG3" t="s">
        <v>51</v>
      </c>
      <c r="BH3" t="s">
        <v>145</v>
      </c>
      <c r="BI3" s="1">
        <v>1</v>
      </c>
      <c r="BJ3">
        <v>3</v>
      </c>
    </row>
    <row r="4" spans="1:62" x14ac:dyDescent="0.3">
      <c r="A4" s="3" t="s">
        <v>142</v>
      </c>
      <c r="B4" s="3" t="s">
        <v>45</v>
      </c>
      <c r="C4" s="3">
        <v>92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>
        <v>25</v>
      </c>
      <c r="P4">
        <v>10</v>
      </c>
      <c r="Q4">
        <v>32</v>
      </c>
      <c r="R4">
        <v>8</v>
      </c>
      <c r="S4">
        <v>11</v>
      </c>
      <c r="T4">
        <v>9</v>
      </c>
      <c r="U4" s="3"/>
      <c r="V4" s="3"/>
      <c r="W4" s="3"/>
      <c r="X4" s="3">
        <v>1</v>
      </c>
      <c r="Y4" s="3"/>
      <c r="Z4" s="3">
        <v>2</v>
      </c>
      <c r="AA4" s="3">
        <v>1</v>
      </c>
      <c r="AB4" s="3">
        <v>2</v>
      </c>
      <c r="AC4" s="3"/>
      <c r="AD4" s="3">
        <v>13</v>
      </c>
      <c r="AE4" s="3">
        <v>8</v>
      </c>
      <c r="AF4" s="3">
        <v>1</v>
      </c>
      <c r="AG4" s="3">
        <v>1</v>
      </c>
      <c r="AH4" s="3">
        <v>2</v>
      </c>
      <c r="AI4" s="3">
        <v>4</v>
      </c>
      <c r="AJ4" s="3"/>
      <c r="AK4" s="3"/>
      <c r="AL4" s="3">
        <v>2</v>
      </c>
      <c r="AM4" s="3"/>
      <c r="AN4" s="3">
        <v>2</v>
      </c>
      <c r="AO4" s="3"/>
      <c r="AP4" s="3"/>
      <c r="AQ4" s="3"/>
      <c r="AR4" s="3">
        <v>1</v>
      </c>
      <c r="AS4" s="3"/>
      <c r="AT4" s="3"/>
      <c r="AU4" s="3"/>
      <c r="AV4" s="3"/>
      <c r="AW4" s="3"/>
      <c r="AX4" s="3"/>
      <c r="AY4" s="3">
        <v>1</v>
      </c>
      <c r="AZ4" s="3"/>
      <c r="BA4" s="3"/>
      <c r="BB4" s="3"/>
      <c r="BC4" s="3">
        <v>1</v>
      </c>
      <c r="BD4" s="3">
        <v>1</v>
      </c>
      <c r="BE4" s="3" t="s">
        <v>79</v>
      </c>
      <c r="BF4" t="s">
        <v>144</v>
      </c>
      <c r="BG4" t="s">
        <v>51</v>
      </c>
      <c r="BH4" t="s">
        <v>145</v>
      </c>
      <c r="BI4" s="1">
        <v>1</v>
      </c>
      <c r="BJ4">
        <v>3</v>
      </c>
    </row>
    <row r="5" spans="1:62" x14ac:dyDescent="0.3">
      <c r="A5" s="3" t="s">
        <v>43</v>
      </c>
      <c r="B5" s="3" t="s">
        <v>45</v>
      </c>
      <c r="C5" s="3">
        <v>92</v>
      </c>
      <c r="D5" s="3"/>
      <c r="E5" s="3"/>
      <c r="F5" s="3">
        <v>1</v>
      </c>
      <c r="G5" s="3"/>
      <c r="H5" s="3"/>
      <c r="I5" s="3"/>
      <c r="J5" s="3"/>
      <c r="K5" s="3"/>
      <c r="L5" s="3"/>
      <c r="M5" s="3"/>
      <c r="N5" s="3"/>
      <c r="O5">
        <v>22</v>
      </c>
      <c r="P5">
        <v>11</v>
      </c>
      <c r="Q5">
        <v>29</v>
      </c>
      <c r="R5">
        <v>7</v>
      </c>
      <c r="S5">
        <v>6</v>
      </c>
      <c r="T5">
        <v>3</v>
      </c>
      <c r="U5" s="3"/>
      <c r="V5" s="3"/>
      <c r="W5" s="3"/>
      <c r="X5" s="3">
        <v>4</v>
      </c>
      <c r="Y5" s="3">
        <v>1</v>
      </c>
      <c r="Z5" s="3"/>
      <c r="AA5" s="3"/>
      <c r="AB5" s="3">
        <v>2</v>
      </c>
      <c r="AC5" s="3">
        <v>2</v>
      </c>
      <c r="AD5" s="3">
        <v>6</v>
      </c>
      <c r="AE5" s="3">
        <v>5</v>
      </c>
      <c r="AF5" s="3">
        <v>1</v>
      </c>
      <c r="AG5" s="3"/>
      <c r="AH5" s="3">
        <v>2</v>
      </c>
      <c r="AI5" s="3">
        <v>3</v>
      </c>
      <c r="AJ5" s="3"/>
      <c r="AK5" s="3"/>
      <c r="AL5" s="3">
        <v>2</v>
      </c>
      <c r="AM5" s="3"/>
      <c r="AN5" s="3">
        <v>2</v>
      </c>
      <c r="AO5" s="3"/>
      <c r="AP5" s="3"/>
      <c r="AQ5" s="3"/>
      <c r="AR5" s="3"/>
      <c r="AS5" s="3">
        <v>1</v>
      </c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</v>
      </c>
      <c r="BE5" s="3" t="s">
        <v>79</v>
      </c>
      <c r="BF5" t="s">
        <v>144</v>
      </c>
      <c r="BG5" t="s">
        <v>51</v>
      </c>
      <c r="BH5" t="s">
        <v>145</v>
      </c>
      <c r="BI5" s="1">
        <v>1</v>
      </c>
      <c r="BJ5">
        <v>3</v>
      </c>
    </row>
    <row r="6" spans="1:62" x14ac:dyDescent="0.3">
      <c r="A6" s="3" t="s">
        <v>128</v>
      </c>
      <c r="B6" s="3" t="s">
        <v>100</v>
      </c>
      <c r="C6" s="3">
        <v>92</v>
      </c>
      <c r="D6" s="3"/>
      <c r="E6" s="3"/>
      <c r="F6" s="3"/>
      <c r="G6" s="3"/>
      <c r="H6" s="3"/>
      <c r="I6" s="3"/>
      <c r="J6" s="3"/>
      <c r="K6" s="3"/>
      <c r="L6" s="3"/>
      <c r="M6">
        <v>1</v>
      </c>
      <c r="N6" s="3"/>
      <c r="O6">
        <v>4</v>
      </c>
      <c r="P6">
        <v>9</v>
      </c>
      <c r="Q6">
        <v>10</v>
      </c>
      <c r="R6">
        <v>6</v>
      </c>
      <c r="S6">
        <v>2</v>
      </c>
      <c r="T6" s="3"/>
      <c r="U6">
        <v>3</v>
      </c>
      <c r="V6">
        <v>1</v>
      </c>
      <c r="W6" s="3">
        <v>1</v>
      </c>
      <c r="X6" s="3">
        <v>1</v>
      </c>
      <c r="Y6" s="3"/>
      <c r="Z6" s="3">
        <v>5</v>
      </c>
      <c r="AA6" s="3">
        <v>1</v>
      </c>
      <c r="AB6" s="3">
        <v>1</v>
      </c>
      <c r="AC6" s="3"/>
      <c r="AD6" s="3">
        <v>2</v>
      </c>
      <c r="AE6" s="3"/>
      <c r="AF6" s="3"/>
      <c r="AG6" s="3"/>
      <c r="AH6" s="3">
        <v>1</v>
      </c>
      <c r="AI6" s="3">
        <v>1</v>
      </c>
      <c r="AJ6" s="3"/>
      <c r="AK6" s="3"/>
      <c r="AL6" s="3">
        <v>5</v>
      </c>
      <c r="AM6" s="3"/>
      <c r="AN6" s="3">
        <v>2</v>
      </c>
      <c r="AO6" s="3"/>
      <c r="AP6" s="3">
        <v>3</v>
      </c>
      <c r="AQ6" s="3"/>
      <c r="AR6" s="3"/>
      <c r="AS6" s="3">
        <v>1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79</v>
      </c>
      <c r="BF6" t="s">
        <v>144</v>
      </c>
      <c r="BG6" t="s">
        <v>51</v>
      </c>
      <c r="BH6" t="s">
        <v>145</v>
      </c>
      <c r="BI6" s="1">
        <v>1</v>
      </c>
      <c r="BJ6">
        <v>3</v>
      </c>
    </row>
    <row r="7" spans="1:62" x14ac:dyDescent="0.3">
      <c r="A7" s="3" t="s">
        <v>129</v>
      </c>
      <c r="B7" s="3" t="s">
        <v>46</v>
      </c>
      <c r="C7" s="3">
        <v>89</v>
      </c>
      <c r="D7" s="3"/>
      <c r="E7" s="3"/>
      <c r="F7" s="3"/>
      <c r="G7" s="3"/>
      <c r="H7" s="3"/>
      <c r="I7" s="3"/>
      <c r="J7" s="3">
        <v>1</v>
      </c>
      <c r="K7" s="3"/>
      <c r="L7" s="3"/>
      <c r="M7" s="3"/>
      <c r="N7" s="3"/>
      <c r="O7">
        <v>33</v>
      </c>
      <c r="P7">
        <v>18</v>
      </c>
      <c r="Q7">
        <v>44</v>
      </c>
      <c r="R7">
        <v>12</v>
      </c>
      <c r="S7">
        <v>8</v>
      </c>
      <c r="T7">
        <v>2</v>
      </c>
      <c r="U7" s="3"/>
      <c r="V7" s="3"/>
      <c r="W7" s="3"/>
      <c r="X7" s="3">
        <v>2</v>
      </c>
      <c r="Y7" s="3"/>
      <c r="Z7" s="3">
        <v>1</v>
      </c>
      <c r="AA7" s="3"/>
      <c r="AB7" s="3">
        <v>4</v>
      </c>
      <c r="AC7" s="3">
        <v>2</v>
      </c>
      <c r="AD7" s="3">
        <v>1</v>
      </c>
      <c r="AE7" s="3">
        <v>1</v>
      </c>
      <c r="AF7" s="3">
        <v>3</v>
      </c>
      <c r="AG7" s="3">
        <v>2</v>
      </c>
      <c r="AH7" s="3">
        <v>2</v>
      </c>
      <c r="AI7" s="3">
        <v>2</v>
      </c>
      <c r="AJ7" s="3">
        <v>1</v>
      </c>
      <c r="AK7" s="3"/>
      <c r="AL7" s="3">
        <v>1</v>
      </c>
      <c r="AM7" s="3"/>
      <c r="AN7" s="3">
        <v>4</v>
      </c>
      <c r="AO7" s="3"/>
      <c r="AP7" s="3"/>
      <c r="AQ7" s="3"/>
      <c r="AR7" s="3"/>
      <c r="AS7" s="3">
        <v>2</v>
      </c>
      <c r="AT7" s="3"/>
      <c r="AU7" s="3"/>
      <c r="AV7" s="3"/>
      <c r="AW7" s="3"/>
      <c r="AX7" s="3"/>
      <c r="AY7" s="3">
        <v>1</v>
      </c>
      <c r="AZ7" s="3"/>
      <c r="BA7" s="3"/>
      <c r="BB7" s="3"/>
      <c r="BC7" s="3"/>
      <c r="BD7" s="3">
        <v>1</v>
      </c>
      <c r="BE7" s="3" t="s">
        <v>79</v>
      </c>
      <c r="BF7" t="s">
        <v>144</v>
      </c>
      <c r="BG7" t="s">
        <v>51</v>
      </c>
      <c r="BH7" t="s">
        <v>145</v>
      </c>
      <c r="BI7" s="1">
        <v>1</v>
      </c>
      <c r="BJ7">
        <v>3</v>
      </c>
    </row>
    <row r="8" spans="1:62" x14ac:dyDescent="0.3">
      <c r="A8" s="3" t="s">
        <v>130</v>
      </c>
      <c r="B8" s="3" t="s">
        <v>46</v>
      </c>
      <c r="C8" s="3">
        <v>92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>
        <v>13</v>
      </c>
      <c r="P8">
        <v>27</v>
      </c>
      <c r="Q8">
        <v>35</v>
      </c>
      <c r="R8">
        <v>23</v>
      </c>
      <c r="S8">
        <v>13</v>
      </c>
      <c r="T8">
        <v>9</v>
      </c>
      <c r="U8" s="3"/>
      <c r="V8" s="3"/>
      <c r="W8" s="3"/>
      <c r="X8" s="3">
        <v>2</v>
      </c>
      <c r="Y8" s="3">
        <v>2</v>
      </c>
      <c r="Z8" s="3">
        <v>1</v>
      </c>
      <c r="AA8" s="3">
        <v>1</v>
      </c>
      <c r="AB8" s="3">
        <v>4</v>
      </c>
      <c r="AC8" s="3">
        <v>3</v>
      </c>
      <c r="AD8" s="3">
        <v>3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/>
      <c r="AL8" s="3">
        <v>3</v>
      </c>
      <c r="AM8" s="3"/>
      <c r="AN8" s="3">
        <v>1</v>
      </c>
      <c r="AO8" s="3"/>
      <c r="AP8" s="3">
        <v>3</v>
      </c>
      <c r="AQ8" s="3"/>
      <c r="AR8" s="3">
        <v>1</v>
      </c>
      <c r="AS8" s="3">
        <v>1</v>
      </c>
      <c r="AT8" s="3"/>
      <c r="AU8" s="3">
        <v>1</v>
      </c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79</v>
      </c>
      <c r="BF8" t="s">
        <v>144</v>
      </c>
      <c r="BG8" t="s">
        <v>51</v>
      </c>
      <c r="BH8" t="s">
        <v>145</v>
      </c>
      <c r="BI8" s="1">
        <v>1</v>
      </c>
      <c r="BJ8">
        <v>3</v>
      </c>
    </row>
    <row r="9" spans="1:62" x14ac:dyDescent="0.3">
      <c r="A9" s="3" t="s">
        <v>52</v>
      </c>
      <c r="B9" s="3" t="s">
        <v>47</v>
      </c>
      <c r="C9" s="3">
        <v>92</v>
      </c>
      <c r="D9" s="3"/>
      <c r="E9" s="3"/>
      <c r="F9" s="3"/>
      <c r="G9" s="3"/>
      <c r="H9" s="3">
        <v>3</v>
      </c>
      <c r="I9" s="3">
        <v>1</v>
      </c>
      <c r="J9" s="3"/>
      <c r="K9" s="3"/>
      <c r="L9" s="3"/>
      <c r="M9">
        <v>1</v>
      </c>
      <c r="N9">
        <v>1</v>
      </c>
      <c r="O9">
        <v>9</v>
      </c>
      <c r="P9">
        <v>17</v>
      </c>
      <c r="Q9">
        <v>22</v>
      </c>
      <c r="R9">
        <v>14</v>
      </c>
      <c r="S9">
        <v>9</v>
      </c>
      <c r="T9">
        <v>6</v>
      </c>
      <c r="U9">
        <v>6</v>
      </c>
      <c r="V9">
        <v>2</v>
      </c>
      <c r="W9" s="3"/>
      <c r="X9" s="3">
        <v>1</v>
      </c>
      <c r="Y9" s="3">
        <v>1</v>
      </c>
      <c r="Z9" s="3">
        <v>2</v>
      </c>
      <c r="AA9" s="3">
        <v>1</v>
      </c>
      <c r="AB9" s="3">
        <v>3</v>
      </c>
      <c r="AC9" s="3">
        <v>3</v>
      </c>
      <c r="AD9" s="3">
        <v>3</v>
      </c>
      <c r="AE9" s="3">
        <v>1</v>
      </c>
      <c r="AF9" s="3"/>
      <c r="AG9" s="3"/>
      <c r="AH9" s="3"/>
      <c r="AI9" s="3"/>
      <c r="AJ9" s="3">
        <v>1</v>
      </c>
      <c r="AK9" s="3"/>
      <c r="AL9" s="3">
        <v>5</v>
      </c>
      <c r="AM9" s="3"/>
      <c r="AN9" s="3">
        <v>2</v>
      </c>
      <c r="AO9" s="3"/>
      <c r="AP9" s="3"/>
      <c r="AQ9" s="3"/>
      <c r="AR9" s="3">
        <v>1</v>
      </c>
      <c r="AS9" s="3">
        <v>1</v>
      </c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79</v>
      </c>
      <c r="BF9" t="s">
        <v>144</v>
      </c>
      <c r="BG9" t="s">
        <v>51</v>
      </c>
      <c r="BH9" t="s">
        <v>145</v>
      </c>
      <c r="BI9" s="1">
        <v>1</v>
      </c>
      <c r="BJ9">
        <v>3</v>
      </c>
    </row>
    <row r="10" spans="1:62" x14ac:dyDescent="0.3">
      <c r="A10" s="3" t="s">
        <v>131</v>
      </c>
      <c r="B10" s="3" t="s">
        <v>101</v>
      </c>
      <c r="C10" s="3">
        <v>68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>
        <v>4</v>
      </c>
      <c r="P10">
        <v>7</v>
      </c>
      <c r="Q10">
        <v>6</v>
      </c>
      <c r="R10">
        <v>2</v>
      </c>
      <c r="S10">
        <v>3</v>
      </c>
      <c r="T10" s="3"/>
      <c r="U10">
        <v>1</v>
      </c>
      <c r="V10" s="3"/>
      <c r="W10" s="3"/>
      <c r="X10" s="3">
        <v>1</v>
      </c>
      <c r="Y10" s="3"/>
      <c r="Z10" s="3">
        <v>2</v>
      </c>
      <c r="AA10" s="3">
        <v>1</v>
      </c>
      <c r="AB10" s="3">
        <v>1</v>
      </c>
      <c r="AC10" s="3"/>
      <c r="AD10" s="3">
        <v>3</v>
      </c>
      <c r="AE10" s="3">
        <v>2</v>
      </c>
      <c r="AF10" s="3"/>
      <c r="AG10" s="3">
        <v>1</v>
      </c>
      <c r="AH10" s="3">
        <v>1</v>
      </c>
      <c r="AI10" s="3"/>
      <c r="AJ10" s="3">
        <v>1</v>
      </c>
      <c r="AK10" s="3"/>
      <c r="AL10" s="3">
        <v>2</v>
      </c>
      <c r="AM10" s="3"/>
      <c r="AN10" s="3">
        <v>1</v>
      </c>
      <c r="AO10" s="3"/>
      <c r="AP10" s="3"/>
      <c r="AQ10" s="3"/>
      <c r="AR10" s="3">
        <v>3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144</v>
      </c>
      <c r="BG10" t="s">
        <v>51</v>
      </c>
      <c r="BH10" t="s">
        <v>145</v>
      </c>
      <c r="BI10" s="1">
        <v>1</v>
      </c>
      <c r="BJ10">
        <v>3</v>
      </c>
    </row>
    <row r="11" spans="1:62" x14ac:dyDescent="0.3">
      <c r="A11" s="3" t="s">
        <v>102</v>
      </c>
      <c r="B11" s="3" t="s">
        <v>101</v>
      </c>
      <c r="C11" s="3">
        <v>89</v>
      </c>
      <c r="D11" s="3">
        <v>1</v>
      </c>
      <c r="E11" s="3">
        <v>1</v>
      </c>
      <c r="F11" s="3">
        <v>1</v>
      </c>
      <c r="G11" s="3"/>
      <c r="H11" s="3">
        <v>1</v>
      </c>
      <c r="I11" s="3"/>
      <c r="J11" s="3"/>
      <c r="K11" s="3"/>
      <c r="L11" s="3">
        <v>1</v>
      </c>
      <c r="M11" s="3"/>
      <c r="N11" s="3"/>
      <c r="O11">
        <v>5</v>
      </c>
      <c r="P11">
        <v>14</v>
      </c>
      <c r="Q11">
        <v>16</v>
      </c>
      <c r="R11">
        <v>11</v>
      </c>
      <c r="S11">
        <v>2</v>
      </c>
      <c r="T11" s="3"/>
      <c r="U11">
        <v>2</v>
      </c>
      <c r="V11" s="3"/>
      <c r="W11" s="3">
        <v>1</v>
      </c>
      <c r="X11" s="3"/>
      <c r="Y11" s="3"/>
      <c r="Z11" s="3">
        <v>3</v>
      </c>
      <c r="AA11" s="3">
        <v>2</v>
      </c>
      <c r="AB11" s="3">
        <v>4</v>
      </c>
      <c r="AC11" s="3">
        <v>4</v>
      </c>
      <c r="AD11" s="3">
        <v>3</v>
      </c>
      <c r="AE11" s="3">
        <v>1</v>
      </c>
      <c r="AF11" s="3">
        <v>1</v>
      </c>
      <c r="AG11" s="3"/>
      <c r="AH11" s="3">
        <v>2</v>
      </c>
      <c r="AI11" s="3">
        <v>1</v>
      </c>
      <c r="AJ11" s="3"/>
      <c r="AK11" s="3"/>
      <c r="AL11" s="3">
        <v>3</v>
      </c>
      <c r="AM11" s="3"/>
      <c r="AN11" s="3">
        <v>1</v>
      </c>
      <c r="AO11" s="3"/>
      <c r="AP11" s="3">
        <v>4</v>
      </c>
      <c r="AQ11" s="3"/>
      <c r="AR11" s="3">
        <v>2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144</v>
      </c>
      <c r="BG11" t="s">
        <v>51</v>
      </c>
      <c r="BH11" t="s">
        <v>145</v>
      </c>
      <c r="BI11" s="1">
        <v>1</v>
      </c>
      <c r="BJ11">
        <v>3</v>
      </c>
    </row>
    <row r="12" spans="1:62" x14ac:dyDescent="0.3">
      <c r="A12" s="3" t="s">
        <v>143</v>
      </c>
      <c r="B12" s="3" t="s">
        <v>48</v>
      </c>
      <c r="C12" s="3">
        <v>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>
        <v>3</v>
      </c>
      <c r="P12">
        <v>7</v>
      </c>
      <c r="Q12">
        <v>8</v>
      </c>
      <c r="R12">
        <v>5</v>
      </c>
      <c r="S12" s="3"/>
      <c r="T12" s="3"/>
      <c r="U12">
        <v>1</v>
      </c>
      <c r="V12" s="3"/>
      <c r="W12" s="3"/>
      <c r="X12" s="3"/>
      <c r="Y12" s="3"/>
      <c r="Z12" s="3">
        <v>11</v>
      </c>
      <c r="AA12" s="3">
        <v>6</v>
      </c>
      <c r="AB12" s="3"/>
      <c r="AC12" s="3"/>
      <c r="AD12" s="3">
        <v>10</v>
      </c>
      <c r="AE12" s="3">
        <v>8</v>
      </c>
      <c r="AF12" s="3"/>
      <c r="AG12" s="3"/>
      <c r="AH12" s="3"/>
      <c r="AI12" s="3"/>
      <c r="AJ12" s="3"/>
      <c r="AK12" s="3"/>
      <c r="AL12" s="3">
        <v>7</v>
      </c>
      <c r="AM12" s="3"/>
      <c r="AN12" s="3"/>
      <c r="AO12" s="3"/>
      <c r="AP12" s="3"/>
      <c r="AQ12" s="3"/>
      <c r="AR12" s="3">
        <v>1</v>
      </c>
      <c r="AS12" s="3">
        <v>3</v>
      </c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144</v>
      </c>
      <c r="BG12" t="s">
        <v>51</v>
      </c>
      <c r="BH12" t="s">
        <v>145</v>
      </c>
      <c r="BI12" s="1">
        <v>1</v>
      </c>
      <c r="BJ12">
        <v>3</v>
      </c>
    </row>
    <row r="13" spans="1:62" x14ac:dyDescent="0.3">
      <c r="A13" s="3" t="s">
        <v>148</v>
      </c>
      <c r="B13" s="3" t="s">
        <v>101</v>
      </c>
      <c r="C13" s="3">
        <v>24</v>
      </c>
      <c r="D13" s="3"/>
      <c r="E13" s="3"/>
      <c r="F13" s="3"/>
      <c r="G13" s="3"/>
      <c r="H13" s="3">
        <v>1</v>
      </c>
      <c r="I13" s="3"/>
      <c r="J13" s="3"/>
      <c r="K13" s="3"/>
      <c r="L13" s="3"/>
      <c r="M13" s="3">
        <v>1</v>
      </c>
      <c r="N13">
        <v>1</v>
      </c>
      <c r="O13">
        <v>5</v>
      </c>
      <c r="P13">
        <v>4</v>
      </c>
      <c r="Q13">
        <v>9</v>
      </c>
      <c r="R13">
        <v>4</v>
      </c>
      <c r="S13" s="3"/>
      <c r="T13" s="3"/>
      <c r="U13">
        <v>2</v>
      </c>
      <c r="V13">
        <v>1</v>
      </c>
      <c r="W13" s="3"/>
      <c r="X13" s="3"/>
      <c r="Y13" s="3"/>
      <c r="Z13" s="3">
        <v>2</v>
      </c>
      <c r="AA13" s="3">
        <v>1</v>
      </c>
      <c r="AC13" s="3"/>
      <c r="AD13" s="3">
        <v>1</v>
      </c>
      <c r="AE13" s="3"/>
      <c r="AF13" s="3"/>
      <c r="AG13" s="3"/>
      <c r="AH13" s="3"/>
      <c r="AI13" s="3"/>
      <c r="AJ13" s="3"/>
      <c r="AK13" s="3"/>
      <c r="AL13" s="3">
        <v>4</v>
      </c>
      <c r="AM13" s="3"/>
      <c r="AN13" s="3"/>
      <c r="AO13" s="3"/>
      <c r="AP13" s="3">
        <v>1</v>
      </c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>
        <v>0</v>
      </c>
      <c r="BE13" s="3" t="s">
        <v>104</v>
      </c>
      <c r="BF13" t="s">
        <v>144</v>
      </c>
      <c r="BG13" t="s">
        <v>51</v>
      </c>
      <c r="BH13" t="s">
        <v>145</v>
      </c>
      <c r="BI13" s="1">
        <v>1</v>
      </c>
      <c r="BJ13">
        <v>3</v>
      </c>
    </row>
    <row r="14" spans="1:62" x14ac:dyDescent="0.3">
      <c r="A14" s="3" t="s">
        <v>149</v>
      </c>
      <c r="B14" s="3" t="s">
        <v>48</v>
      </c>
      <c r="C14" s="3">
        <v>24</v>
      </c>
      <c r="D14" s="3">
        <v>1</v>
      </c>
      <c r="E14" s="3">
        <v>1</v>
      </c>
      <c r="F14" s="3"/>
      <c r="G14" s="3"/>
      <c r="H14" s="3"/>
      <c r="I14" s="3"/>
      <c r="J14" s="3"/>
      <c r="K14" s="3">
        <v>1</v>
      </c>
      <c r="L14" s="3"/>
      <c r="M14" s="3"/>
      <c r="N14">
        <v>1</v>
      </c>
      <c r="O14">
        <v>1</v>
      </c>
      <c r="P14">
        <v>2</v>
      </c>
      <c r="Q14">
        <v>3</v>
      </c>
      <c r="R14">
        <v>2</v>
      </c>
      <c r="S14">
        <v>1</v>
      </c>
      <c r="T14">
        <v>1</v>
      </c>
      <c r="U14" s="3"/>
      <c r="V14" s="3"/>
      <c r="W14" s="3"/>
      <c r="X14" s="3"/>
      <c r="Y14" s="3"/>
      <c r="Z14" s="3">
        <v>2</v>
      </c>
      <c r="AA14" s="3">
        <v>1</v>
      </c>
      <c r="AB14" s="3">
        <v>1</v>
      </c>
      <c r="AC14" s="3">
        <v>1</v>
      </c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>
        <v>1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104</v>
      </c>
      <c r="BF14" t="s">
        <v>144</v>
      </c>
      <c r="BG14" t="s">
        <v>51</v>
      </c>
      <c r="BH14" t="s">
        <v>145</v>
      </c>
      <c r="BI14" s="1">
        <v>1</v>
      </c>
      <c r="BJ14">
        <v>3</v>
      </c>
    </row>
    <row r="15" spans="1:62" x14ac:dyDescent="0.3">
      <c r="A15" s="3" t="s">
        <v>127</v>
      </c>
      <c r="B15" s="3" t="s">
        <v>99</v>
      </c>
      <c r="C15" s="3">
        <v>13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1</v>
      </c>
      <c r="P15" s="3"/>
      <c r="Q15">
        <v>1</v>
      </c>
      <c r="R15" s="3"/>
      <c r="S15" s="3"/>
      <c r="T15" s="3"/>
      <c r="U15">
        <v>1</v>
      </c>
      <c r="V15" s="3"/>
      <c r="W15" s="3"/>
      <c r="X15" s="3"/>
      <c r="Y15" s="3"/>
      <c r="Z15" s="3"/>
      <c r="AA15" s="3"/>
      <c r="AB15" s="3"/>
      <c r="AC15" s="3"/>
      <c r="AD15" s="3">
        <v>1</v>
      </c>
      <c r="AE15" s="3"/>
      <c r="AF15" s="3"/>
      <c r="AG15" s="3"/>
      <c r="AH15" s="3"/>
      <c r="AI15" s="3">
        <v>1</v>
      </c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>
        <v>0</v>
      </c>
      <c r="BE15" s="3" t="s">
        <v>104</v>
      </c>
      <c r="BF15" t="s">
        <v>144</v>
      </c>
      <c r="BG15" t="s">
        <v>51</v>
      </c>
      <c r="BH15" t="s">
        <v>145</v>
      </c>
      <c r="BI15" s="1">
        <v>1</v>
      </c>
      <c r="BJ15">
        <v>3</v>
      </c>
    </row>
    <row r="16" spans="1:62" x14ac:dyDescent="0.3">
      <c r="A16" s="3" t="s">
        <v>150</v>
      </c>
      <c r="B16" s="3" t="s">
        <v>45</v>
      </c>
      <c r="C16" s="3">
        <v>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>
        <v>3</v>
      </c>
      <c r="P16" s="3"/>
      <c r="Q16">
        <v>3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>
        <v>1</v>
      </c>
      <c r="AJ16" s="3"/>
      <c r="AK16" s="3"/>
      <c r="AL16" s="3"/>
      <c r="AM16" s="3"/>
      <c r="AN16" s="3">
        <v>1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>
        <v>1</v>
      </c>
      <c r="AZ16" s="3"/>
      <c r="BA16" s="3"/>
      <c r="BB16" s="3"/>
      <c r="BC16" s="3"/>
      <c r="BD16" s="3">
        <v>0</v>
      </c>
      <c r="BE16" s="3" t="s">
        <v>104</v>
      </c>
      <c r="BF16" t="s">
        <v>144</v>
      </c>
      <c r="BG16" t="s">
        <v>51</v>
      </c>
      <c r="BH16" t="s">
        <v>145</v>
      </c>
      <c r="BI16" s="1">
        <v>1</v>
      </c>
      <c r="BJ16">
        <v>3</v>
      </c>
    </row>
    <row r="17" spans="1:62" x14ac:dyDescent="0.3">
      <c r="A17" s="3" t="s">
        <v>151</v>
      </c>
      <c r="B17" s="3" t="s">
        <v>101</v>
      </c>
      <c r="C17" s="3">
        <v>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104</v>
      </c>
      <c r="BF17" t="s">
        <v>144</v>
      </c>
      <c r="BG17" t="s">
        <v>51</v>
      </c>
      <c r="BH17" t="s">
        <v>145</v>
      </c>
      <c r="BI17" s="1">
        <v>1</v>
      </c>
      <c r="BJ17">
        <v>3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H2" sqref="H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132</v>
      </c>
      <c r="C1" t="s">
        <v>133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  <c r="J1" t="s">
        <v>49</v>
      </c>
    </row>
    <row r="2" spans="1:10" x14ac:dyDescent="0.3">
      <c r="A2" t="str">
        <f>Sheet1!AS2</f>
        <v>ΠΑΟΚ Κρηστωνης</v>
      </c>
      <c r="B2">
        <v>12</v>
      </c>
      <c r="C2">
        <v>5</v>
      </c>
      <c r="D2">
        <v>5</v>
      </c>
      <c r="E2">
        <v>2</v>
      </c>
      <c r="F2">
        <v>8</v>
      </c>
      <c r="G2">
        <v>4</v>
      </c>
      <c r="H2">
        <v>5</v>
      </c>
      <c r="I2">
        <v>5</v>
      </c>
      <c r="J2">
        <f>Sheet1!BC2</f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2026-10-04T15:27:18Z</dcterms:modified>
  <cp:category/>
  <cp:contentStatus/>
</cp:coreProperties>
</file>