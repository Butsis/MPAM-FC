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campeongaming-my.sharepoint.com/personal/dimitris_chatziliadis_campeongaming_com/Documents/Επιφάνεια εργασίας/mpam/"/>
    </mc:Choice>
  </mc:AlternateContent>
  <xr:revisionPtr revIDLastSave="993" documentId="8_{BB149310-9C70-4F0D-AF38-12983800A995}" xr6:coauthVersionLast="47" xr6:coauthVersionMax="47" xr10:uidLastSave="{596EC63A-9C56-4C83-A2FE-052FCDE7802E}"/>
  <bookViews>
    <workbookView xWindow="-108" yWindow="-108" windowWidth="23256" windowHeight="13896" xr2:uid="{00000000-000D-0000-FFFF-FFFF00000000}"/>
  </bookViews>
  <sheets>
    <sheet name="Sheet1" sheetId="5" r:id="rId1"/>
    <sheet name="Sheet2" sheetId="6" r:id="rId2"/>
    <sheet name="Sheet3" sheetId="7" r:id="rId3"/>
    <sheet name="Sheet4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J2" i="7"/>
  <c r="A2" i="7"/>
  <c r="J2" i="5" l="1"/>
  <c r="I2" i="5"/>
  <c r="H2" i="5"/>
  <c r="G2" i="5"/>
  <c r="F2" i="5"/>
  <c r="AR2" i="5" l="1"/>
  <c r="AQ2" i="5"/>
  <c r="AP2" i="5"/>
  <c r="AO2" i="5"/>
  <c r="AN2" i="5"/>
  <c r="AM2" i="5"/>
  <c r="AL2" i="5"/>
  <c r="AK2" i="5"/>
  <c r="AI2" i="5"/>
  <c r="AH2" i="5"/>
  <c r="AF2" i="5"/>
  <c r="AE2" i="5"/>
  <c r="AC2" i="5"/>
  <c r="AB2" i="5"/>
  <c r="Z2" i="5"/>
  <c r="Y2" i="5"/>
  <c r="X2" i="5"/>
  <c r="W2" i="5"/>
  <c r="C2" i="5"/>
  <c r="B2" i="5"/>
  <c r="AX2" i="5"/>
  <c r="AW2" i="5"/>
  <c r="AA2" i="5" l="1"/>
  <c r="AJ2" i="5"/>
  <c r="E2" i="5"/>
  <c r="AG2" i="5"/>
  <c r="AD2" i="5"/>
  <c r="A2" i="5"/>
</calcChain>
</file>

<file path=xl/sharedStrings.xml><?xml version="1.0" encoding="utf-8"?>
<sst xmlns="http://schemas.openxmlformats.org/spreadsheetml/2006/main" count="248" uniqueCount="158">
  <si>
    <t>Big Chances</t>
  </si>
  <si>
    <t>Scored</t>
  </si>
  <si>
    <t>Missed</t>
  </si>
  <si>
    <t>Total Shots</t>
  </si>
  <si>
    <t>On Target</t>
  </si>
  <si>
    <t>Off Target</t>
  </si>
  <si>
    <t>Blocked</t>
  </si>
  <si>
    <t>Shots Inside Box</t>
  </si>
  <si>
    <t>Shots Outside Box</t>
  </si>
  <si>
    <t>Corners</t>
  </si>
  <si>
    <t>Fouls Commited</t>
  </si>
  <si>
    <t>Fouls Won</t>
  </si>
  <si>
    <t>MINUTES</t>
  </si>
  <si>
    <t>GOAL</t>
  </si>
  <si>
    <t>FOULS WON</t>
  </si>
  <si>
    <t>ASSISTS</t>
  </si>
  <si>
    <t>KEY PASSES</t>
  </si>
  <si>
    <t>BIG CHANCES MISSED</t>
  </si>
  <si>
    <t>CLEARANCES</t>
  </si>
  <si>
    <t>INTERCEPTIONS</t>
  </si>
  <si>
    <t>GOALS CONCEDED</t>
  </si>
  <si>
    <t>Total Aerial Duels</t>
  </si>
  <si>
    <t>Aerial Duels %</t>
  </si>
  <si>
    <t>Total Long Balls</t>
  </si>
  <si>
    <t>Successful Long Balls</t>
  </si>
  <si>
    <t>Long Balls %</t>
  </si>
  <si>
    <t>Opponent</t>
  </si>
  <si>
    <t>Competition</t>
  </si>
  <si>
    <t>Goals Scored</t>
  </si>
  <si>
    <t>Goals Conceded</t>
  </si>
  <si>
    <t>ΝΑΜΕ</t>
  </si>
  <si>
    <t>POSITION</t>
  </si>
  <si>
    <t>TOTAL LONG BALLS</t>
  </si>
  <si>
    <t>SUCCESSFUL LONG BALLS</t>
  </si>
  <si>
    <t>TOTAL AERIAL DUELS</t>
  </si>
  <si>
    <t>AERIAL DUES WON</t>
  </si>
  <si>
    <t>YELLOW CARDS</t>
  </si>
  <si>
    <t>RED CARDS</t>
  </si>
  <si>
    <t>Yellow Cards</t>
  </si>
  <si>
    <t>Red Cards</t>
  </si>
  <si>
    <t>Outcome</t>
  </si>
  <si>
    <t>Round</t>
  </si>
  <si>
    <t>Location</t>
  </si>
  <si>
    <t>ΚΑΡΑΓΙΑΝΝΙΔΗΣ</t>
  </si>
  <si>
    <t>GK</t>
  </si>
  <si>
    <t>CB</t>
  </si>
  <si>
    <t>CM</t>
  </si>
  <si>
    <t>AM</t>
  </si>
  <si>
    <t>CF</t>
  </si>
  <si>
    <t>Game ID</t>
  </si>
  <si>
    <t>Surface</t>
  </si>
  <si>
    <t>Πρωταθλημα</t>
  </si>
  <si>
    <t>ΜΠΑΚΟΥΤΣΗΣ</t>
  </si>
  <si>
    <t>BIG CHANCES SCORED</t>
  </si>
  <si>
    <t>BIG CHANCES CREATED</t>
  </si>
  <si>
    <t>TOTAL OFFENSIVE DUELS</t>
  </si>
  <si>
    <t>OFFENSIVE DUELS WON</t>
  </si>
  <si>
    <t>TOTAL DEFENSIVE DUELS</t>
  </si>
  <si>
    <t>DEFENSIVE DUELS WON</t>
  </si>
  <si>
    <t>POSSESION LOST OWN HALF</t>
  </si>
  <si>
    <t>POSSESSION LOST OWN HALF LED TO A SHOT</t>
  </si>
  <si>
    <t>POSSESSION LOST OPPs HALF</t>
  </si>
  <si>
    <t>POSSESSION LOST OPPs HALF LED TO A SHOT</t>
  </si>
  <si>
    <t>BALL RECOVERY OWN HALF</t>
  </si>
  <si>
    <t>BALL RECOVERY OWN HALF LED TO A SHOT</t>
  </si>
  <si>
    <t>BALL RECOVERY OPPs HALF</t>
  </si>
  <si>
    <t>BALL RECOVERY OPPs HALF LED TO A SHOT</t>
  </si>
  <si>
    <t>BIG CHANCES SAVED</t>
  </si>
  <si>
    <t>Corners led to an attempt</t>
  </si>
  <si>
    <t>Fouls led to an attempt</t>
  </si>
  <si>
    <t>Total Offensive Duels</t>
  </si>
  <si>
    <t>Offensive Duels Won</t>
  </si>
  <si>
    <t>Offensive Duels %</t>
  </si>
  <si>
    <t>Total Defensive Duels</t>
  </si>
  <si>
    <t>Defensive Duels Won</t>
  </si>
  <si>
    <t>Defensive Duels %</t>
  </si>
  <si>
    <t>Aerial Duels Won</t>
  </si>
  <si>
    <t>Created</t>
  </si>
  <si>
    <t>Playing Type</t>
  </si>
  <si>
    <t>Βασικος</t>
  </si>
  <si>
    <t>Opps Corners</t>
  </si>
  <si>
    <t>Opps Corners led to an attempt</t>
  </si>
  <si>
    <t>Opps Fouls led to an attempt</t>
  </si>
  <si>
    <t>Possession Lost Own Half</t>
  </si>
  <si>
    <t>Possession Lost Own Half led to a shot</t>
  </si>
  <si>
    <t>Possession Lost Opps Half</t>
  </si>
  <si>
    <t>Possession Lost Opps Half led to a shot</t>
  </si>
  <si>
    <t>Ball Recoveries Own Half</t>
  </si>
  <si>
    <t>Ball Recoveries Own Half led to a shot</t>
  </si>
  <si>
    <t>Ball Recoveries Opps Half</t>
  </si>
  <si>
    <t>Ball Recoveries Opps Half led to a shot</t>
  </si>
  <si>
    <t>Fouls for</t>
  </si>
  <si>
    <t>Fouls Against</t>
  </si>
  <si>
    <t>INSIDE ON TARGET</t>
  </si>
  <si>
    <t>INSIDE OFF TARGET</t>
  </si>
  <si>
    <t>INSIDE BLOCKED</t>
  </si>
  <si>
    <t>OUTSIDE ON TARGET</t>
  </si>
  <si>
    <t>OUTSIDE OFF TARGET</t>
  </si>
  <si>
    <t>OUTSIDE BLOCKED</t>
  </si>
  <si>
    <t>LB</t>
  </si>
  <si>
    <t>RB</t>
  </si>
  <si>
    <t>W</t>
  </si>
  <si>
    <t>ΑΔΑΜΙΔΗΣ</t>
  </si>
  <si>
    <t>ΠΑΝΑΓΙΩΤΟΠΟΥΛΟΣ</t>
  </si>
  <si>
    <t>Date</t>
  </si>
  <si>
    <t>Αλλαγη</t>
  </si>
  <si>
    <t>TACKLES WON</t>
  </si>
  <si>
    <t>TACKLES LOST</t>
  </si>
  <si>
    <t>Corners led to goal</t>
  </si>
  <si>
    <t>Opps Corners led to goal</t>
  </si>
  <si>
    <t>Fouls led to goal</t>
  </si>
  <si>
    <t>Opps Fouls led to goal</t>
  </si>
  <si>
    <t>PENALTY WON</t>
  </si>
  <si>
    <t>PENALTY COMMITTED</t>
  </si>
  <si>
    <t>FOULS COMMITTED</t>
  </si>
  <si>
    <t>PENALTY SCORED</t>
  </si>
  <si>
    <t>PENALTY MISSED</t>
  </si>
  <si>
    <t>PENALTY SAVED</t>
  </si>
  <si>
    <t>SAVES INSIDE THE BOX</t>
  </si>
  <si>
    <t>SAVES OUTSIDE THE BOX</t>
  </si>
  <si>
    <t>PASSES OWN HALF</t>
  </si>
  <si>
    <t>PASSES OPPS HALF</t>
  </si>
  <si>
    <t>ACCURATE PASSES</t>
  </si>
  <si>
    <t>PROGRESSIVE PASSES</t>
  </si>
  <si>
    <t>CROSSES</t>
  </si>
  <si>
    <t>ACCURATE CROSSES</t>
  </si>
  <si>
    <t>OPPS HALF ACCURATE PASSES</t>
  </si>
  <si>
    <t>ACCURATE PROGRESSIVE PASSES</t>
  </si>
  <si>
    <t>ΔΑΝΙΔΗΣ</t>
  </si>
  <si>
    <t>ΚΩΤΕΛΗΣ</t>
  </si>
  <si>
    <t>Total Shots Opp</t>
  </si>
  <si>
    <t>Shots On Target Opp</t>
  </si>
  <si>
    <t>Shots Off Target Opp</t>
  </si>
  <si>
    <t>Shots Blocked Opp</t>
  </si>
  <si>
    <t>Inside the Box Opp</t>
  </si>
  <si>
    <t>Outside the Box Opp</t>
  </si>
  <si>
    <t>Big Chances Opp</t>
  </si>
  <si>
    <t>GK Saves Opp</t>
  </si>
  <si>
    <t>ΚΑΛΠΑΚΙΔΗΣ</t>
  </si>
  <si>
    <t>ΚΑΚΑΤΑΤΣΙΟΣ</t>
  </si>
  <si>
    <t>ΠΑΠΑΔΟΠΟΥΛΟΣ Σ.</t>
  </si>
  <si>
    <t>ΤΣΙΜΠΙΡΗΣ</t>
  </si>
  <si>
    <t>ΜΑΝΩΛΗΣ</t>
  </si>
  <si>
    <t>ΘΕΟΔΟΣΙΑΔΗΣ</t>
  </si>
  <si>
    <t>ΤΑΣΣΗΣ</t>
  </si>
  <si>
    <t>ΔΗΜΗΤΡΙΑΔΗΣ</t>
  </si>
  <si>
    <t>ΑΜΠΕΡΙΑΔΗΣ</t>
  </si>
  <si>
    <t>ΚΥΡΑΝΑΣ</t>
  </si>
  <si>
    <t>Ακριτες Συκεων</t>
  </si>
  <si>
    <t>Νικη</t>
  </si>
  <si>
    <t>Εντος</t>
  </si>
  <si>
    <t>Πλαστικο</t>
  </si>
  <si>
    <t>Player</t>
  </si>
  <si>
    <t>Team Average</t>
  </si>
  <si>
    <t>Distance</t>
  </si>
  <si>
    <t>Max Speed</t>
  </si>
  <si>
    <t>Dist. Speed 20 → 25 (km/h)</t>
  </si>
  <si>
    <t>ΘΕΟΔΩΣΙΑΔΗΣ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</si>
</sst>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617B-334A-43AC-BF83-8AA6E78AED99}">
  <dimension ref="A1:BD7"/>
  <sheetViews>
    <sheetView tabSelected="1" workbookViewId="0">
      <selection activeCell="B2" sqref="B2"/>
    </sheetView>
  </sheetViews>
  <sheetFormatPr defaultRowHeight="14.4" x14ac:dyDescent="0.3"/>
  <cols>
    <col min="56" max="56" width="10.33203125" bestFit="1" customWidth="1"/>
  </cols>
  <sheetData>
    <row r="1" spans="1:56" s="4" customFormat="1" x14ac:dyDescent="0.3">
      <c r="A1" s="4" t="s">
        <v>0</v>
      </c>
      <c r="B1" s="4" t="s">
        <v>1</v>
      </c>
      <c r="C1" s="4" t="s">
        <v>2</v>
      </c>
      <c r="D1" s="4" t="s">
        <v>77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68</v>
      </c>
      <c r="M1" s="4" t="s">
        <v>108</v>
      </c>
      <c r="N1" s="4" t="s">
        <v>80</v>
      </c>
      <c r="O1" s="4" t="s">
        <v>81</v>
      </c>
      <c r="P1" s="4" t="s">
        <v>109</v>
      </c>
      <c r="Q1" s="4" t="s">
        <v>91</v>
      </c>
      <c r="R1" s="4" t="s">
        <v>69</v>
      </c>
      <c r="S1" s="4" t="s">
        <v>110</v>
      </c>
      <c r="T1" s="4" t="s">
        <v>92</v>
      </c>
      <c r="U1" s="4" t="s">
        <v>82</v>
      </c>
      <c r="V1" s="4" t="s">
        <v>111</v>
      </c>
      <c r="W1" s="4" t="s">
        <v>11</v>
      </c>
      <c r="X1" s="4" t="s">
        <v>10</v>
      </c>
      <c r="Y1" s="4" t="s">
        <v>70</v>
      </c>
      <c r="Z1" s="4" t="s">
        <v>71</v>
      </c>
      <c r="AA1" s="5" t="s">
        <v>72</v>
      </c>
      <c r="AB1" s="5" t="s">
        <v>73</v>
      </c>
      <c r="AC1" s="5" t="s">
        <v>74</v>
      </c>
      <c r="AD1" s="5" t="s">
        <v>75</v>
      </c>
      <c r="AE1" s="6" t="s">
        <v>21</v>
      </c>
      <c r="AF1" s="6" t="s">
        <v>76</v>
      </c>
      <c r="AG1" s="5" t="s">
        <v>22</v>
      </c>
      <c r="AH1" s="4" t="s">
        <v>23</v>
      </c>
      <c r="AI1" s="4" t="s">
        <v>24</v>
      </c>
      <c r="AJ1" s="5" t="s">
        <v>25</v>
      </c>
      <c r="AK1" s="4" t="s">
        <v>83</v>
      </c>
      <c r="AL1" s="4" t="s">
        <v>84</v>
      </c>
      <c r="AM1" s="4" t="s">
        <v>85</v>
      </c>
      <c r="AN1" s="4" t="s">
        <v>86</v>
      </c>
      <c r="AO1" s="4" t="s">
        <v>87</v>
      </c>
      <c r="AP1" s="4" t="s">
        <v>88</v>
      </c>
      <c r="AQ1" s="4" t="s">
        <v>89</v>
      </c>
      <c r="AR1" s="4" t="s">
        <v>90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38</v>
      </c>
      <c r="AX1" s="4" t="s">
        <v>39</v>
      </c>
      <c r="AY1" s="4" t="s">
        <v>40</v>
      </c>
      <c r="AZ1" s="4" t="s">
        <v>41</v>
      </c>
      <c r="BA1" s="4" t="s">
        <v>42</v>
      </c>
      <c r="BB1" s="4" t="s">
        <v>50</v>
      </c>
      <c r="BC1" s="4" t="s">
        <v>49</v>
      </c>
      <c r="BD1" s="4" t="s">
        <v>104</v>
      </c>
    </row>
    <row r="2" spans="1:56" x14ac:dyDescent="0.3">
      <c r="A2" s="1">
        <f>B2+C2</f>
        <v>2</v>
      </c>
      <c r="B2" s="1">
        <f>SUM(Sheet2!K:K)</f>
        <v>0</v>
      </c>
      <c r="C2" s="1">
        <f>SUM(Sheet2!L:L)</f>
        <v>2</v>
      </c>
      <c r="D2" s="1">
        <f>SUM(Sheet2!M:M)</f>
        <v>0</v>
      </c>
      <c r="E2" s="1">
        <f>F2+G2+H2</f>
        <v>11</v>
      </c>
      <c r="F2" s="1">
        <f>SUM(Sheet2!E:E) + SUM(Sheet2!H:H)</f>
        <v>5</v>
      </c>
      <c r="G2" s="1">
        <f>SUM(Sheet2!F:F) + SUM(Sheet2!I:I)</f>
        <v>5</v>
      </c>
      <c r="H2" s="1">
        <f>SUM(Sheet2!G:G) + SUM(Sheet2!J:J)</f>
        <v>1</v>
      </c>
      <c r="I2" s="1">
        <f>SUM(Sheet2!E:E) + SUM(Sheet2!F:F) + SUM(Sheet2!G:G)</f>
        <v>5</v>
      </c>
      <c r="J2" s="1">
        <f>SUM(Sheet2!H:H) + SUM(Sheet2!I:I) + SUM(Sheet2!J:J)</f>
        <v>6</v>
      </c>
      <c r="K2" s="1">
        <v>2</v>
      </c>
      <c r="L2" s="1">
        <v>0</v>
      </c>
      <c r="M2" s="1">
        <v>0</v>
      </c>
      <c r="N2" s="1">
        <v>5</v>
      </c>
      <c r="O2" s="1">
        <v>2</v>
      </c>
      <c r="P2" s="1">
        <v>0</v>
      </c>
      <c r="Q2" s="1">
        <v>1</v>
      </c>
      <c r="R2" s="1">
        <v>0</v>
      </c>
      <c r="S2" s="1">
        <v>0</v>
      </c>
      <c r="T2" s="1">
        <v>8</v>
      </c>
      <c r="U2" s="1">
        <v>2</v>
      </c>
      <c r="V2" s="1">
        <v>0</v>
      </c>
      <c r="W2" s="1">
        <f>SUM(Sheet2!AR:AR)</f>
        <v>12</v>
      </c>
      <c r="X2" s="1">
        <f>SUM(Sheet2!AS:AS)</f>
        <v>28</v>
      </c>
      <c r="Y2" s="1">
        <f>SUM(Sheet2!Z:Z)</f>
        <v>38</v>
      </c>
      <c r="Z2" s="1">
        <f>SUM(Sheet2!AA:AA)</f>
        <v>19</v>
      </c>
      <c r="AA2" s="2">
        <f>Z2/Y2</f>
        <v>0.5</v>
      </c>
      <c r="AB2" s="1">
        <f>SUM(Sheet2!AB:AB)</f>
        <v>26</v>
      </c>
      <c r="AC2" s="1">
        <f>SUM(Sheet2!AC:AC)</f>
        <v>15</v>
      </c>
      <c r="AD2" s="2">
        <f>AC2/AB2</f>
        <v>0.57692307692307687</v>
      </c>
      <c r="AE2" s="1">
        <f>SUM(Sheet2!AD:AD)</f>
        <v>53</v>
      </c>
      <c r="AF2" s="1">
        <f>SUM(Sheet2!AE:AE)</f>
        <v>31</v>
      </c>
      <c r="AG2" s="2">
        <f>AF2/AE2</f>
        <v>0.58490566037735847</v>
      </c>
      <c r="AH2" s="1">
        <f>SUM(Sheet2!X:X)</f>
        <v>32</v>
      </c>
      <c r="AI2" s="1">
        <f>SUM(Sheet2!Y:Y)</f>
        <v>15</v>
      </c>
      <c r="AJ2" s="2">
        <f>AI2/AH2</f>
        <v>0.46875</v>
      </c>
      <c r="AK2" s="1">
        <f>SUM(Sheet2!AJ:AJ)</f>
        <v>4</v>
      </c>
      <c r="AL2" s="1">
        <f>SUM(Sheet2!AK:AK)</f>
        <v>0</v>
      </c>
      <c r="AM2" s="1">
        <f>SUM(Sheet2!AL:AL)</f>
        <v>45</v>
      </c>
      <c r="AN2" s="1">
        <f>SUM(Sheet2!AM:AM)</f>
        <v>0</v>
      </c>
      <c r="AO2" s="1">
        <f>SUM(Sheet2!AN:AN)</f>
        <v>28</v>
      </c>
      <c r="AP2" s="1">
        <f>SUM(Sheet2!AO:AO)</f>
        <v>0</v>
      </c>
      <c r="AQ2" s="1">
        <f>SUM(Sheet2!AP:AP)</f>
        <v>12</v>
      </c>
      <c r="AR2" s="1">
        <f>SUM(Sheet2!AQ:AQ)</f>
        <v>2</v>
      </c>
      <c r="AS2" s="1" t="s">
        <v>148</v>
      </c>
      <c r="AT2" s="1" t="s">
        <v>51</v>
      </c>
      <c r="AU2" s="1">
        <v>3</v>
      </c>
      <c r="AV2" s="1">
        <v>1</v>
      </c>
      <c r="AW2" s="1">
        <f>SUM(Sheet2!AY:AY)</f>
        <v>6</v>
      </c>
      <c r="AX2" s="1">
        <f>SUM(Sheet2!AZ:AZ)</f>
        <v>0</v>
      </c>
      <c r="AY2" s="1" t="s">
        <v>149</v>
      </c>
      <c r="AZ2" s="1">
        <v>1</v>
      </c>
      <c r="BA2" t="s">
        <v>150</v>
      </c>
      <c r="BB2" t="s">
        <v>151</v>
      </c>
      <c r="BC2">
        <v>4</v>
      </c>
      <c r="BD2" s="7">
        <v>46306</v>
      </c>
    </row>
    <row r="7" spans="1:56" x14ac:dyDescent="0.3">
      <c r="AH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4111-BA52-4C92-902C-031EB0C986C5}">
  <dimension ref="A1:BJ20"/>
  <sheetViews>
    <sheetView zoomScale="70" zoomScaleNormal="70" workbookViewId="0">
      <pane xSplit="1" topLeftCell="B1" activePane="topRight" state="frozen"/>
      <selection pane="topRight" activeCell="K1" sqref="K1"/>
    </sheetView>
  </sheetViews>
  <sheetFormatPr defaultRowHeight="14.4" x14ac:dyDescent="0.3"/>
  <cols>
    <col min="11" max="11" width="10.44140625" customWidth="1"/>
    <col min="12" max="12" width="10.77734375" customWidth="1"/>
    <col min="36" max="36" width="13.88671875" customWidth="1"/>
    <col min="37" max="37" width="18.88671875" customWidth="1"/>
  </cols>
  <sheetData>
    <row r="1" spans="1:62" s="4" customFormat="1" x14ac:dyDescent="0.3">
      <c r="A1" s="4" t="s">
        <v>30</v>
      </c>
      <c r="B1" s="4" t="s">
        <v>31</v>
      </c>
      <c r="C1" s="4" t="s">
        <v>12</v>
      </c>
      <c r="D1" s="4" t="s">
        <v>13</v>
      </c>
      <c r="E1" s="4" t="s">
        <v>93</v>
      </c>
      <c r="F1" s="4" t="s">
        <v>94</v>
      </c>
      <c r="G1" s="4" t="s">
        <v>95</v>
      </c>
      <c r="H1" s="4" t="s">
        <v>96</v>
      </c>
      <c r="I1" s="4" t="s">
        <v>97</v>
      </c>
      <c r="J1" s="4" t="s">
        <v>98</v>
      </c>
      <c r="K1" s="4" t="s">
        <v>53</v>
      </c>
      <c r="L1" s="4" t="s">
        <v>17</v>
      </c>
      <c r="M1" s="4" t="s">
        <v>54</v>
      </c>
      <c r="N1" s="4" t="s">
        <v>15</v>
      </c>
      <c r="O1" s="4" t="s">
        <v>120</v>
      </c>
      <c r="P1" s="4" t="s">
        <v>121</v>
      </c>
      <c r="Q1" s="4" t="s">
        <v>122</v>
      </c>
      <c r="R1" s="4" t="s">
        <v>126</v>
      </c>
      <c r="S1" s="4" t="s">
        <v>123</v>
      </c>
      <c r="T1" s="4" t="s">
        <v>127</v>
      </c>
      <c r="U1" s="4" t="s">
        <v>124</v>
      </c>
      <c r="V1" s="4" t="s">
        <v>125</v>
      </c>
      <c r="W1" s="4" t="s">
        <v>16</v>
      </c>
      <c r="X1" s="4" t="s">
        <v>32</v>
      </c>
      <c r="Y1" s="4" t="s">
        <v>33</v>
      </c>
      <c r="Z1" s="4" t="s">
        <v>55</v>
      </c>
      <c r="AA1" s="4" t="s">
        <v>56</v>
      </c>
      <c r="AB1" s="4" t="s">
        <v>57</v>
      </c>
      <c r="AC1" s="4" t="s">
        <v>58</v>
      </c>
      <c r="AD1" s="4" t="s">
        <v>34</v>
      </c>
      <c r="AE1" s="4" t="s">
        <v>35</v>
      </c>
      <c r="AF1" s="4" t="s">
        <v>106</v>
      </c>
      <c r="AG1" s="4" t="s">
        <v>107</v>
      </c>
      <c r="AH1" s="4" t="s">
        <v>18</v>
      </c>
      <c r="AI1" s="4" t="s">
        <v>19</v>
      </c>
      <c r="AJ1" s="4" t="s">
        <v>59</v>
      </c>
      <c r="AK1" s="4" t="s">
        <v>60</v>
      </c>
      <c r="AL1" s="4" t="s">
        <v>61</v>
      </c>
      <c r="AM1" s="4" t="s">
        <v>62</v>
      </c>
      <c r="AN1" s="4" t="s">
        <v>63</v>
      </c>
      <c r="AO1" s="4" t="s">
        <v>64</v>
      </c>
      <c r="AP1" s="4" t="s">
        <v>65</v>
      </c>
      <c r="AQ1" s="4" t="s">
        <v>66</v>
      </c>
      <c r="AR1" s="4" t="s">
        <v>14</v>
      </c>
      <c r="AS1" s="4" t="s">
        <v>114</v>
      </c>
      <c r="AT1" s="4" t="s">
        <v>112</v>
      </c>
      <c r="AU1" s="4" t="s">
        <v>113</v>
      </c>
      <c r="AV1" s="4" t="s">
        <v>115</v>
      </c>
      <c r="AW1" s="4" t="s">
        <v>116</v>
      </c>
      <c r="AX1" s="4" t="s">
        <v>117</v>
      </c>
      <c r="AY1" s="4" t="s">
        <v>36</v>
      </c>
      <c r="AZ1" s="4" t="s">
        <v>37</v>
      </c>
      <c r="BA1" s="4" t="s">
        <v>118</v>
      </c>
      <c r="BB1" s="4" t="s">
        <v>119</v>
      </c>
      <c r="BC1" s="4" t="s">
        <v>67</v>
      </c>
      <c r="BD1" s="4" t="s">
        <v>20</v>
      </c>
      <c r="BE1" s="4" t="s">
        <v>78</v>
      </c>
      <c r="BF1" s="4" t="s">
        <v>26</v>
      </c>
      <c r="BG1" s="4" t="s">
        <v>27</v>
      </c>
      <c r="BH1" s="4" t="s">
        <v>40</v>
      </c>
      <c r="BI1" s="4" t="s">
        <v>41</v>
      </c>
      <c r="BJ1" s="4" t="s">
        <v>49</v>
      </c>
    </row>
    <row r="2" spans="1:62" x14ac:dyDescent="0.3">
      <c r="A2" t="s">
        <v>141</v>
      </c>
      <c r="B2" s="3" t="s">
        <v>44</v>
      </c>
      <c r="C2" s="3">
        <v>45</v>
      </c>
      <c r="D2" s="3"/>
      <c r="E2" s="3"/>
      <c r="F2" s="3"/>
      <c r="G2" s="3"/>
      <c r="H2" s="3"/>
      <c r="I2" s="3"/>
      <c r="J2" s="3"/>
      <c r="K2" s="3"/>
      <c r="L2" s="3"/>
      <c r="O2">
        <v>9</v>
      </c>
      <c r="P2">
        <v>5</v>
      </c>
      <c r="Q2">
        <v>10</v>
      </c>
      <c r="R2">
        <v>2</v>
      </c>
      <c r="S2">
        <v>5</v>
      </c>
      <c r="T2">
        <v>2</v>
      </c>
      <c r="W2" s="3"/>
      <c r="X2" s="3">
        <v>7</v>
      </c>
      <c r="Y2" s="3">
        <v>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>
        <v>2</v>
      </c>
      <c r="BB2" s="3"/>
      <c r="BC2" s="3"/>
      <c r="BD2" s="3">
        <v>1</v>
      </c>
      <c r="BE2" s="3" t="s">
        <v>79</v>
      </c>
      <c r="BF2" t="s">
        <v>148</v>
      </c>
      <c r="BG2" t="s">
        <v>51</v>
      </c>
      <c r="BH2" t="s">
        <v>149</v>
      </c>
      <c r="BI2" s="1">
        <v>1</v>
      </c>
      <c r="BJ2">
        <v>4</v>
      </c>
    </row>
    <row r="3" spans="1:62" x14ac:dyDescent="0.3">
      <c r="A3" s="3" t="s">
        <v>139</v>
      </c>
      <c r="B3" s="3" t="s">
        <v>99</v>
      </c>
      <c r="C3" s="3">
        <v>45</v>
      </c>
      <c r="D3" s="3"/>
      <c r="E3" s="3"/>
      <c r="F3" s="3"/>
      <c r="G3" s="3"/>
      <c r="H3" s="3"/>
      <c r="I3" s="3"/>
      <c r="J3" s="3"/>
      <c r="M3" s="3"/>
      <c r="N3" s="3"/>
      <c r="O3">
        <v>5</v>
      </c>
      <c r="P3">
        <v>6</v>
      </c>
      <c r="Q3">
        <v>11</v>
      </c>
      <c r="R3">
        <v>6</v>
      </c>
      <c r="S3">
        <v>1</v>
      </c>
      <c r="T3">
        <v>1</v>
      </c>
      <c r="U3">
        <v>2</v>
      </c>
      <c r="V3" s="3"/>
      <c r="W3" s="3"/>
      <c r="X3" s="3">
        <v>1</v>
      </c>
      <c r="Y3" s="3">
        <v>1</v>
      </c>
      <c r="Z3" s="3">
        <v>1</v>
      </c>
      <c r="AA3" s="3">
        <v>1</v>
      </c>
      <c r="AB3" s="3">
        <v>2</v>
      </c>
      <c r="AC3" s="3">
        <v>1</v>
      </c>
      <c r="AD3" s="3"/>
      <c r="AE3" s="3"/>
      <c r="AF3" s="3"/>
      <c r="AG3" s="3"/>
      <c r="AH3" s="3"/>
      <c r="AI3" s="3">
        <v>2</v>
      </c>
      <c r="AJ3" s="3"/>
      <c r="AK3" s="3"/>
      <c r="AL3" s="3"/>
      <c r="AM3" s="3"/>
      <c r="AN3" s="3">
        <v>2</v>
      </c>
      <c r="AO3" s="3"/>
      <c r="AP3" s="3">
        <v>1</v>
      </c>
      <c r="AQ3" s="3"/>
      <c r="AR3" s="3">
        <v>1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>
        <v>1</v>
      </c>
      <c r="BE3" s="3" t="s">
        <v>79</v>
      </c>
      <c r="BF3" t="s">
        <v>148</v>
      </c>
      <c r="BG3" t="s">
        <v>51</v>
      </c>
      <c r="BH3" t="s">
        <v>149</v>
      </c>
      <c r="BI3" s="1">
        <v>1</v>
      </c>
      <c r="BJ3">
        <v>4</v>
      </c>
    </row>
    <row r="4" spans="1:62" x14ac:dyDescent="0.3">
      <c r="A4" s="3" t="s">
        <v>138</v>
      </c>
      <c r="B4" s="3" t="s">
        <v>45</v>
      </c>
      <c r="C4" s="3">
        <v>94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>
        <v>22</v>
      </c>
      <c r="P4">
        <v>6</v>
      </c>
      <c r="Q4">
        <v>23</v>
      </c>
      <c r="R4">
        <v>3</v>
      </c>
      <c r="S4">
        <v>10</v>
      </c>
      <c r="T4">
        <v>5</v>
      </c>
      <c r="U4" s="3"/>
      <c r="V4" s="3"/>
      <c r="W4" s="3"/>
      <c r="X4" s="3">
        <v>3</v>
      </c>
      <c r="Y4" s="3">
        <v>1</v>
      </c>
      <c r="Z4" s="3"/>
      <c r="AA4" s="3"/>
      <c r="AB4" s="3">
        <v>1</v>
      </c>
      <c r="AC4" s="3"/>
      <c r="AD4" s="3">
        <v>15</v>
      </c>
      <c r="AE4" s="3">
        <v>9</v>
      </c>
      <c r="AF4" s="3">
        <v>3</v>
      </c>
      <c r="AG4" s="3">
        <v>1</v>
      </c>
      <c r="AH4" s="3">
        <v>2</v>
      </c>
      <c r="AI4" s="3">
        <v>5</v>
      </c>
      <c r="AJ4" s="3"/>
      <c r="AK4" s="3"/>
      <c r="AL4" s="3">
        <v>1</v>
      </c>
      <c r="AM4" s="3"/>
      <c r="AN4" s="3">
        <v>3</v>
      </c>
      <c r="AO4" s="3"/>
      <c r="AP4" s="3"/>
      <c r="AQ4" s="3"/>
      <c r="AR4" s="3">
        <v>1</v>
      </c>
      <c r="AS4" s="3">
        <v>2</v>
      </c>
      <c r="AT4" s="3"/>
      <c r="AU4" s="3"/>
      <c r="AV4" s="3"/>
      <c r="AW4" s="3"/>
      <c r="AX4" s="3"/>
      <c r="AY4" s="3">
        <v>1</v>
      </c>
      <c r="AZ4" s="3"/>
      <c r="BA4" s="3"/>
      <c r="BB4" s="3"/>
      <c r="BC4" s="3"/>
      <c r="BD4" s="3">
        <v>1</v>
      </c>
      <c r="BE4" s="3" t="s">
        <v>79</v>
      </c>
      <c r="BF4" t="s">
        <v>148</v>
      </c>
      <c r="BG4" t="s">
        <v>51</v>
      </c>
      <c r="BH4" t="s">
        <v>149</v>
      </c>
      <c r="BI4" s="1">
        <v>1</v>
      </c>
      <c r="BJ4">
        <v>4</v>
      </c>
    </row>
    <row r="5" spans="1:62" x14ac:dyDescent="0.3">
      <c r="A5" s="3" t="s">
        <v>43</v>
      </c>
      <c r="B5" s="3" t="s">
        <v>45</v>
      </c>
      <c r="C5" s="3">
        <v>94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>
        <v>18</v>
      </c>
      <c r="P5">
        <v>10</v>
      </c>
      <c r="Q5">
        <v>24</v>
      </c>
      <c r="R5">
        <v>6</v>
      </c>
      <c r="S5">
        <v>8</v>
      </c>
      <c r="T5">
        <v>4</v>
      </c>
      <c r="U5" s="3"/>
      <c r="V5" s="3"/>
      <c r="W5" s="3"/>
      <c r="X5" s="3">
        <v>5</v>
      </c>
      <c r="Y5" s="3">
        <v>1</v>
      </c>
      <c r="Z5" s="3"/>
      <c r="AA5" s="3"/>
      <c r="AB5" s="3">
        <v>5</v>
      </c>
      <c r="AC5" s="3">
        <v>3</v>
      </c>
      <c r="AD5" s="3">
        <v>1</v>
      </c>
      <c r="AE5" s="3">
        <v>1</v>
      </c>
      <c r="AF5" s="3">
        <v>2</v>
      </c>
      <c r="AG5" s="3">
        <v>1</v>
      </c>
      <c r="AH5" s="3">
        <v>1</v>
      </c>
      <c r="AI5" s="3">
        <v>3</v>
      </c>
      <c r="AJ5" s="3"/>
      <c r="AK5" s="3"/>
      <c r="AL5" s="3"/>
      <c r="AM5" s="3"/>
      <c r="AN5" s="3">
        <v>3</v>
      </c>
      <c r="AO5" s="3"/>
      <c r="AP5" s="3"/>
      <c r="AQ5" s="3"/>
      <c r="AR5" s="3">
        <v>1</v>
      </c>
      <c r="AS5" s="3">
        <v>1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1</v>
      </c>
      <c r="BE5" s="3" t="s">
        <v>79</v>
      </c>
      <c r="BF5" t="s">
        <v>148</v>
      </c>
      <c r="BG5" t="s">
        <v>51</v>
      </c>
      <c r="BH5" t="s">
        <v>149</v>
      </c>
      <c r="BI5" s="1">
        <v>1</v>
      </c>
      <c r="BJ5">
        <v>4</v>
      </c>
    </row>
    <row r="6" spans="1:62" x14ac:dyDescent="0.3">
      <c r="A6" s="3" t="s">
        <v>128</v>
      </c>
      <c r="B6" s="3" t="s">
        <v>100</v>
      </c>
      <c r="C6" s="3">
        <v>94</v>
      </c>
      <c r="D6" s="3"/>
      <c r="E6" s="3">
        <v>1</v>
      </c>
      <c r="F6" s="3"/>
      <c r="G6" s="3"/>
      <c r="H6" s="3"/>
      <c r="I6" s="3"/>
      <c r="J6" s="3"/>
      <c r="K6" s="3"/>
      <c r="L6" s="3"/>
      <c r="M6" s="3"/>
      <c r="N6" s="3"/>
      <c r="O6">
        <v>9</v>
      </c>
      <c r="P6">
        <v>10</v>
      </c>
      <c r="Q6">
        <v>15</v>
      </c>
      <c r="R6">
        <v>7</v>
      </c>
      <c r="S6">
        <v>6</v>
      </c>
      <c r="T6">
        <v>3</v>
      </c>
      <c r="U6">
        <v>2</v>
      </c>
      <c r="V6" s="3"/>
      <c r="W6" s="3">
        <v>1</v>
      </c>
      <c r="X6" s="3">
        <v>1</v>
      </c>
      <c r="Y6" s="3">
        <v>1</v>
      </c>
      <c r="Z6" s="3">
        <v>8</v>
      </c>
      <c r="AA6" s="3">
        <v>5</v>
      </c>
      <c r="AB6" s="3">
        <v>5</v>
      </c>
      <c r="AC6" s="3">
        <v>3</v>
      </c>
      <c r="AD6" s="3">
        <v>4</v>
      </c>
      <c r="AE6" s="3">
        <v>1</v>
      </c>
      <c r="AF6" s="3">
        <v>1</v>
      </c>
      <c r="AG6" s="3"/>
      <c r="AH6" s="3">
        <v>2</v>
      </c>
      <c r="AI6" s="3"/>
      <c r="AJ6" s="3"/>
      <c r="AK6" s="3"/>
      <c r="AL6" s="3">
        <v>3</v>
      </c>
      <c r="AM6" s="3"/>
      <c r="AN6" s="3">
        <v>8</v>
      </c>
      <c r="AO6" s="3"/>
      <c r="AP6" s="3"/>
      <c r="AQ6" s="3"/>
      <c r="AR6" s="3">
        <v>1</v>
      </c>
      <c r="AS6" s="3">
        <v>3</v>
      </c>
      <c r="AT6" s="3"/>
      <c r="AU6" s="3"/>
      <c r="AV6" s="3"/>
      <c r="AW6" s="3"/>
      <c r="AX6" s="3"/>
      <c r="AY6" s="3">
        <v>1</v>
      </c>
      <c r="AZ6" s="3"/>
      <c r="BA6" s="3"/>
      <c r="BB6" s="3"/>
      <c r="BC6" s="3"/>
      <c r="BD6" s="3">
        <v>1</v>
      </c>
      <c r="BE6" s="3" t="s">
        <v>79</v>
      </c>
      <c r="BF6" t="s">
        <v>148</v>
      </c>
      <c r="BG6" t="s">
        <v>51</v>
      </c>
      <c r="BH6" t="s">
        <v>149</v>
      </c>
      <c r="BI6" s="1">
        <v>1</v>
      </c>
      <c r="BJ6">
        <v>4</v>
      </c>
    </row>
    <row r="7" spans="1:62" x14ac:dyDescent="0.3">
      <c r="A7" s="3" t="s">
        <v>129</v>
      </c>
      <c r="B7" s="3" t="s">
        <v>46</v>
      </c>
      <c r="C7" s="3">
        <v>58</v>
      </c>
      <c r="D7" s="3"/>
      <c r="E7" s="3"/>
      <c r="F7" s="3"/>
      <c r="G7" s="3"/>
      <c r="H7" s="3"/>
      <c r="I7" s="3">
        <v>1</v>
      </c>
      <c r="J7" s="3"/>
      <c r="K7" s="3"/>
      <c r="L7" s="3"/>
      <c r="M7" s="3"/>
      <c r="N7" s="3"/>
      <c r="O7">
        <v>16</v>
      </c>
      <c r="P7">
        <v>6</v>
      </c>
      <c r="Q7">
        <v>19</v>
      </c>
      <c r="R7">
        <v>5</v>
      </c>
      <c r="S7">
        <v>4</v>
      </c>
      <c r="T7">
        <v>3</v>
      </c>
      <c r="U7" s="3"/>
      <c r="V7" s="3"/>
      <c r="W7" s="3"/>
      <c r="X7" s="3"/>
      <c r="Y7" s="3"/>
      <c r="Z7" s="3">
        <v>3</v>
      </c>
      <c r="AA7" s="3">
        <v>1</v>
      </c>
      <c r="AB7" s="3">
        <v>1</v>
      </c>
      <c r="AC7" s="3"/>
      <c r="AD7" s="3">
        <v>2</v>
      </c>
      <c r="AE7" s="3">
        <v>1</v>
      </c>
      <c r="AF7" s="3"/>
      <c r="AG7" s="3"/>
      <c r="AH7" s="3">
        <v>2</v>
      </c>
      <c r="AI7" s="3">
        <v>5</v>
      </c>
      <c r="AJ7" s="3">
        <v>1</v>
      </c>
      <c r="AK7" s="3"/>
      <c r="AL7" s="3">
        <v>1</v>
      </c>
      <c r="AM7" s="3"/>
      <c r="AN7" s="3">
        <v>3</v>
      </c>
      <c r="AO7" s="3"/>
      <c r="AP7" s="3"/>
      <c r="AQ7" s="3">
        <v>1</v>
      </c>
      <c r="AR7" s="3">
        <v>1</v>
      </c>
      <c r="AS7" s="3">
        <v>2</v>
      </c>
      <c r="AT7" s="3"/>
      <c r="AU7" s="3"/>
      <c r="AV7" s="3"/>
      <c r="AW7" s="3"/>
      <c r="AX7" s="3"/>
      <c r="AY7" s="3">
        <v>1</v>
      </c>
      <c r="AZ7" s="3"/>
      <c r="BA7" s="3"/>
      <c r="BB7" s="3"/>
      <c r="BC7" s="3"/>
      <c r="BD7" s="3">
        <v>1</v>
      </c>
      <c r="BE7" s="3" t="s">
        <v>79</v>
      </c>
      <c r="BF7" t="s">
        <v>148</v>
      </c>
      <c r="BG7" t="s">
        <v>51</v>
      </c>
      <c r="BH7" t="s">
        <v>149</v>
      </c>
      <c r="BI7" s="1">
        <v>1</v>
      </c>
      <c r="BJ7">
        <v>4</v>
      </c>
    </row>
    <row r="8" spans="1:62" x14ac:dyDescent="0.3">
      <c r="A8" s="3" t="s">
        <v>140</v>
      </c>
      <c r="B8" s="3" t="s">
        <v>46</v>
      </c>
      <c r="C8" s="3">
        <v>94</v>
      </c>
      <c r="D8" s="3"/>
      <c r="E8" s="3"/>
      <c r="F8" s="3"/>
      <c r="G8" s="3"/>
      <c r="H8" s="3"/>
      <c r="I8" s="3"/>
      <c r="J8" s="3"/>
      <c r="K8" s="3"/>
      <c r="L8" s="3"/>
      <c r="M8" s="3"/>
      <c r="N8">
        <v>1</v>
      </c>
      <c r="O8">
        <v>15</v>
      </c>
      <c r="P8">
        <v>15</v>
      </c>
      <c r="Q8">
        <v>26</v>
      </c>
      <c r="R8">
        <v>11</v>
      </c>
      <c r="S8">
        <v>9</v>
      </c>
      <c r="T8">
        <v>5</v>
      </c>
      <c r="U8" s="3"/>
      <c r="V8" s="3"/>
      <c r="W8" s="3"/>
      <c r="X8" s="3"/>
      <c r="Y8" s="3"/>
      <c r="Z8" s="3"/>
      <c r="AA8" s="3"/>
      <c r="AB8" s="3">
        <v>1</v>
      </c>
      <c r="AC8" s="3">
        <v>1</v>
      </c>
      <c r="AD8" s="3">
        <v>2</v>
      </c>
      <c r="AE8" s="3">
        <v>2</v>
      </c>
      <c r="AF8" s="3"/>
      <c r="AG8" s="3">
        <v>1</v>
      </c>
      <c r="AH8" s="3"/>
      <c r="AI8" s="3">
        <v>1</v>
      </c>
      <c r="AJ8" s="3"/>
      <c r="AK8" s="3"/>
      <c r="AL8" s="3">
        <v>4</v>
      </c>
      <c r="AM8" s="3"/>
      <c r="AN8" s="3">
        <v>2</v>
      </c>
      <c r="AO8" s="3"/>
      <c r="AP8" s="3">
        <v>4</v>
      </c>
      <c r="AQ8" s="3">
        <v>1</v>
      </c>
      <c r="AR8" s="3"/>
      <c r="AS8" s="3">
        <v>2</v>
      </c>
      <c r="AT8" s="3"/>
      <c r="AU8" s="3"/>
      <c r="AV8" s="3"/>
      <c r="AW8" s="3"/>
      <c r="AX8" s="3"/>
      <c r="AY8" s="3">
        <v>1</v>
      </c>
      <c r="AZ8" s="3"/>
      <c r="BA8" s="3"/>
      <c r="BB8" s="3"/>
      <c r="BC8" s="3"/>
      <c r="BD8" s="3">
        <v>1</v>
      </c>
      <c r="BE8" s="3" t="s">
        <v>79</v>
      </c>
      <c r="BF8" t="s">
        <v>148</v>
      </c>
      <c r="BG8" t="s">
        <v>51</v>
      </c>
      <c r="BH8" t="s">
        <v>149</v>
      </c>
      <c r="BI8" s="1">
        <v>1</v>
      </c>
      <c r="BJ8">
        <v>4</v>
      </c>
    </row>
    <row r="9" spans="1:62" x14ac:dyDescent="0.3">
      <c r="A9" s="3" t="s">
        <v>52</v>
      </c>
      <c r="B9" s="3" t="s">
        <v>47</v>
      </c>
      <c r="C9" s="3">
        <v>94</v>
      </c>
      <c r="D9" s="3"/>
      <c r="E9" s="3"/>
      <c r="F9" s="3"/>
      <c r="G9" s="3"/>
      <c r="H9" s="3">
        <v>3</v>
      </c>
      <c r="I9" s="3">
        <v>1</v>
      </c>
      <c r="J9" s="3"/>
      <c r="K9" s="3"/>
      <c r="L9" s="3"/>
      <c r="M9" s="3"/>
      <c r="N9" s="3"/>
      <c r="O9">
        <v>4</v>
      </c>
      <c r="P9">
        <v>15</v>
      </c>
      <c r="Q9">
        <v>13</v>
      </c>
      <c r="R9">
        <v>9</v>
      </c>
      <c r="S9">
        <v>8</v>
      </c>
      <c r="T9">
        <v>5</v>
      </c>
      <c r="U9">
        <v>3</v>
      </c>
      <c r="V9">
        <v>1</v>
      </c>
      <c r="W9" s="3"/>
      <c r="X9" s="3">
        <v>1</v>
      </c>
      <c r="Y9" s="3">
        <v>1</v>
      </c>
      <c r="Z9" s="3">
        <v>11</v>
      </c>
      <c r="AA9" s="3">
        <v>5</v>
      </c>
      <c r="AB9" s="3"/>
      <c r="AC9" s="3"/>
      <c r="AD9" s="3">
        <v>3</v>
      </c>
      <c r="AE9" s="3">
        <v>1</v>
      </c>
      <c r="AF9" s="3"/>
      <c r="AG9" s="3"/>
      <c r="AH9" s="3"/>
      <c r="AI9" s="3"/>
      <c r="AJ9" s="3"/>
      <c r="AK9" s="3"/>
      <c r="AL9" s="3">
        <v>13</v>
      </c>
      <c r="AM9" s="3"/>
      <c r="AN9" s="3"/>
      <c r="AO9" s="3"/>
      <c r="AP9" s="3">
        <v>1</v>
      </c>
      <c r="AQ9" s="3"/>
      <c r="AR9" s="3">
        <v>3</v>
      </c>
      <c r="AS9" s="3">
        <v>2</v>
      </c>
      <c r="AT9" s="3"/>
      <c r="AU9" s="3"/>
      <c r="AV9" s="3"/>
      <c r="AW9" s="3"/>
      <c r="AX9" s="3"/>
      <c r="AY9" s="3">
        <v>1</v>
      </c>
      <c r="AZ9" s="3"/>
      <c r="BA9" s="3"/>
      <c r="BB9" s="3"/>
      <c r="BC9" s="3"/>
      <c r="BD9" s="3">
        <v>1</v>
      </c>
      <c r="BE9" s="3" t="s">
        <v>79</v>
      </c>
      <c r="BF9" t="s">
        <v>148</v>
      </c>
      <c r="BG9" t="s">
        <v>51</v>
      </c>
      <c r="BH9" t="s">
        <v>149</v>
      </c>
      <c r="BI9" s="1">
        <v>1</v>
      </c>
      <c r="BJ9">
        <v>4</v>
      </c>
    </row>
    <row r="10" spans="1:62" x14ac:dyDescent="0.3">
      <c r="A10" s="3" t="s">
        <v>142</v>
      </c>
      <c r="B10" s="3" t="s">
        <v>101</v>
      </c>
      <c r="C10" s="3">
        <v>71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>
        <v>5</v>
      </c>
      <c r="P10">
        <v>5</v>
      </c>
      <c r="Q10">
        <v>8</v>
      </c>
      <c r="R10">
        <v>3</v>
      </c>
      <c r="S10">
        <v>2</v>
      </c>
      <c r="T10">
        <v>2</v>
      </c>
      <c r="U10">
        <v>3</v>
      </c>
      <c r="V10">
        <v>1</v>
      </c>
      <c r="W10" s="3"/>
      <c r="X10" s="3">
        <v>1</v>
      </c>
      <c r="Y10" s="3">
        <v>1</v>
      </c>
      <c r="Z10" s="3"/>
      <c r="AA10" s="3"/>
      <c r="AB10" s="3">
        <v>2</v>
      </c>
      <c r="AC10" s="3">
        <v>1</v>
      </c>
      <c r="AD10" s="3"/>
      <c r="AE10" s="3"/>
      <c r="AF10" s="3"/>
      <c r="AG10" s="3"/>
      <c r="AH10" s="3"/>
      <c r="AI10" s="3"/>
      <c r="AJ10" s="3"/>
      <c r="AK10" s="3"/>
      <c r="AL10" s="3">
        <v>5</v>
      </c>
      <c r="AM10" s="3"/>
      <c r="AN10" s="3"/>
      <c r="AO10" s="3"/>
      <c r="AP10" s="3">
        <v>1</v>
      </c>
      <c r="AQ10" s="3"/>
      <c r="AR10" s="3"/>
      <c r="AS10" s="3">
        <v>1</v>
      </c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>
        <v>1</v>
      </c>
      <c r="BE10" s="3" t="s">
        <v>79</v>
      </c>
      <c r="BF10" t="s">
        <v>148</v>
      </c>
      <c r="BG10" t="s">
        <v>51</v>
      </c>
      <c r="BH10" t="s">
        <v>149</v>
      </c>
      <c r="BI10" s="1">
        <v>1</v>
      </c>
      <c r="BJ10">
        <v>4</v>
      </c>
    </row>
    <row r="11" spans="1:62" x14ac:dyDescent="0.3">
      <c r="A11" s="3" t="s">
        <v>102</v>
      </c>
      <c r="B11" s="3" t="s">
        <v>101</v>
      </c>
      <c r="C11" s="3">
        <v>94</v>
      </c>
      <c r="D11" s="3"/>
      <c r="E11" s="3"/>
      <c r="F11" s="3">
        <v>2</v>
      </c>
      <c r="G11" s="3">
        <v>1</v>
      </c>
      <c r="H11" s="3"/>
      <c r="I11" s="3"/>
      <c r="J11" s="3"/>
      <c r="K11" s="3"/>
      <c r="L11" s="3">
        <v>1</v>
      </c>
      <c r="M11" s="3"/>
      <c r="N11" s="3"/>
      <c r="O11">
        <v>4</v>
      </c>
      <c r="P11">
        <v>14</v>
      </c>
      <c r="Q11">
        <v>15</v>
      </c>
      <c r="R11">
        <v>12</v>
      </c>
      <c r="S11">
        <v>1</v>
      </c>
      <c r="T11" s="3"/>
      <c r="U11">
        <v>1</v>
      </c>
      <c r="V11" s="3"/>
      <c r="W11" s="3"/>
      <c r="X11" s="3"/>
      <c r="Y11" s="3"/>
      <c r="Z11" s="3">
        <v>5</v>
      </c>
      <c r="AA11" s="3">
        <v>3</v>
      </c>
      <c r="AB11" s="3">
        <v>3</v>
      </c>
      <c r="AC11" s="3">
        <v>2</v>
      </c>
      <c r="AD11" s="3">
        <v>8</v>
      </c>
      <c r="AE11" s="3">
        <v>6</v>
      </c>
      <c r="AF11" s="3">
        <v>1</v>
      </c>
      <c r="AG11" s="3"/>
      <c r="AH11" s="3"/>
      <c r="AI11" s="3">
        <v>1</v>
      </c>
      <c r="AJ11" s="3">
        <v>1</v>
      </c>
      <c r="AK11" s="3"/>
      <c r="AL11" s="3">
        <v>8</v>
      </c>
      <c r="AM11" s="3"/>
      <c r="AN11" s="3">
        <v>1</v>
      </c>
      <c r="AO11" s="3"/>
      <c r="AP11" s="3">
        <v>3</v>
      </c>
      <c r="AQ11" s="3"/>
      <c r="AR11" s="3"/>
      <c r="AS11" s="3">
        <v>3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>
        <v>1</v>
      </c>
      <c r="BE11" s="3" t="s">
        <v>79</v>
      </c>
      <c r="BF11" t="s">
        <v>148</v>
      </c>
      <c r="BG11" t="s">
        <v>51</v>
      </c>
      <c r="BH11" t="s">
        <v>149</v>
      </c>
      <c r="BI11" s="1">
        <v>1</v>
      </c>
      <c r="BJ11">
        <v>4</v>
      </c>
    </row>
    <row r="12" spans="1:62" x14ac:dyDescent="0.3">
      <c r="A12" s="3" t="s">
        <v>143</v>
      </c>
      <c r="B12" s="3" t="s">
        <v>48</v>
      </c>
      <c r="C12" s="3">
        <v>58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>
        <v>1</v>
      </c>
      <c r="O12" s="3"/>
      <c r="P12">
        <v>6</v>
      </c>
      <c r="Q12">
        <v>5</v>
      </c>
      <c r="R12">
        <v>5</v>
      </c>
      <c r="S12" s="3"/>
      <c r="T12" s="3"/>
      <c r="U12" s="3"/>
      <c r="V12" s="3"/>
      <c r="W12" s="3">
        <v>1</v>
      </c>
      <c r="X12" s="3"/>
      <c r="Y12" s="3"/>
      <c r="Z12" s="3">
        <v>5</v>
      </c>
      <c r="AA12" s="3">
        <v>2</v>
      </c>
      <c r="AB12" s="3">
        <v>1</v>
      </c>
      <c r="AC12" s="3"/>
      <c r="AD12" s="3">
        <v>7</v>
      </c>
      <c r="AE12" s="3">
        <v>3</v>
      </c>
      <c r="AF12" s="3"/>
      <c r="AG12" s="3">
        <v>1</v>
      </c>
      <c r="AH12" s="3"/>
      <c r="AI12" s="3">
        <v>1</v>
      </c>
      <c r="AJ12" s="3">
        <v>1</v>
      </c>
      <c r="AK12" s="3"/>
      <c r="AL12" s="3">
        <v>4</v>
      </c>
      <c r="AM12" s="3"/>
      <c r="AN12" s="3"/>
      <c r="AO12" s="3"/>
      <c r="AP12" s="3"/>
      <c r="AQ12" s="3"/>
      <c r="AR12" s="3">
        <v>2</v>
      </c>
      <c r="AS12" s="3">
        <v>5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>
        <v>1</v>
      </c>
      <c r="BE12" s="3" t="s">
        <v>79</v>
      </c>
      <c r="BF12" t="s">
        <v>148</v>
      </c>
      <c r="BG12" t="s">
        <v>51</v>
      </c>
      <c r="BH12" t="s">
        <v>149</v>
      </c>
      <c r="BI12" s="1">
        <v>1</v>
      </c>
      <c r="BJ12">
        <v>4</v>
      </c>
    </row>
    <row r="13" spans="1:62" x14ac:dyDescent="0.3">
      <c r="A13" s="3" t="s">
        <v>103</v>
      </c>
      <c r="B13" s="3" t="s">
        <v>44</v>
      </c>
      <c r="C13" s="3">
        <v>49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>
        <v>3</v>
      </c>
      <c r="P13">
        <v>11</v>
      </c>
      <c r="Q13">
        <v>9</v>
      </c>
      <c r="R13">
        <v>6</v>
      </c>
      <c r="S13">
        <v>11</v>
      </c>
      <c r="T13">
        <v>6</v>
      </c>
      <c r="U13" s="3"/>
      <c r="V13" s="3"/>
      <c r="W13" s="3"/>
      <c r="X13" s="3">
        <v>11</v>
      </c>
      <c r="Y13" s="3">
        <v>6</v>
      </c>
      <c r="Z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</v>
      </c>
      <c r="AZ13" s="3"/>
      <c r="BA13" s="3">
        <v>2</v>
      </c>
      <c r="BB13" s="3"/>
      <c r="BC13" s="3"/>
      <c r="BD13" s="3">
        <v>0</v>
      </c>
      <c r="BE13" s="3" t="s">
        <v>105</v>
      </c>
      <c r="BF13" t="s">
        <v>148</v>
      </c>
      <c r="BG13" t="s">
        <v>51</v>
      </c>
      <c r="BH13" t="s">
        <v>149</v>
      </c>
      <c r="BI13" s="1">
        <v>1</v>
      </c>
      <c r="BJ13">
        <v>4</v>
      </c>
    </row>
    <row r="14" spans="1:62" x14ac:dyDescent="0.3">
      <c r="A14" s="3" t="s">
        <v>144</v>
      </c>
      <c r="B14" s="3" t="s">
        <v>99</v>
      </c>
      <c r="C14" s="3">
        <v>49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>
        <v>7</v>
      </c>
      <c r="P14">
        <v>7</v>
      </c>
      <c r="Q14">
        <v>8</v>
      </c>
      <c r="R14">
        <v>3</v>
      </c>
      <c r="S14">
        <v>5</v>
      </c>
      <c r="T14" s="3"/>
      <c r="U14">
        <v>1</v>
      </c>
      <c r="V14" s="3"/>
      <c r="W14" s="3"/>
      <c r="X14" s="3"/>
      <c r="Y14" s="3"/>
      <c r="Z14" s="3"/>
      <c r="AA14" s="3"/>
      <c r="AB14" s="3">
        <v>3</v>
      </c>
      <c r="AC14" s="3">
        <v>3</v>
      </c>
      <c r="AD14" s="3">
        <v>3</v>
      </c>
      <c r="AE14" s="3">
        <v>2</v>
      </c>
      <c r="AF14" s="3">
        <v>2</v>
      </c>
      <c r="AG14" s="3"/>
      <c r="AH14" s="3"/>
      <c r="AI14" s="3">
        <v>3</v>
      </c>
      <c r="AJ14" s="3"/>
      <c r="AK14" s="3"/>
      <c r="AL14" s="3">
        <v>2</v>
      </c>
      <c r="AM14" s="3"/>
      <c r="AN14" s="3">
        <v>3</v>
      </c>
      <c r="AO14" s="3"/>
      <c r="AP14" s="3">
        <v>2</v>
      </c>
      <c r="AQ14" s="3"/>
      <c r="AR14" s="3">
        <v>1</v>
      </c>
      <c r="AS14" s="3">
        <v>2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>
        <v>0</v>
      </c>
      <c r="BE14" s="3" t="s">
        <v>105</v>
      </c>
      <c r="BF14" t="s">
        <v>148</v>
      </c>
      <c r="BG14" t="s">
        <v>51</v>
      </c>
      <c r="BH14" t="s">
        <v>149</v>
      </c>
      <c r="BI14" s="1">
        <v>1</v>
      </c>
      <c r="BJ14">
        <v>4</v>
      </c>
    </row>
    <row r="15" spans="1:62" x14ac:dyDescent="0.3">
      <c r="A15" s="3" t="s">
        <v>145</v>
      </c>
      <c r="B15" s="3" t="s">
        <v>46</v>
      </c>
      <c r="C15" s="3">
        <v>36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>
        <v>4</v>
      </c>
      <c r="P15">
        <v>7</v>
      </c>
      <c r="Q15">
        <v>9</v>
      </c>
      <c r="R15">
        <v>5</v>
      </c>
      <c r="S15">
        <v>3</v>
      </c>
      <c r="T15">
        <v>1</v>
      </c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>
        <v>1</v>
      </c>
      <c r="AE15" s="3">
        <v>1</v>
      </c>
      <c r="AF15" s="3"/>
      <c r="AG15" s="3"/>
      <c r="AH15" s="3">
        <v>1</v>
      </c>
      <c r="AI15" s="3"/>
      <c r="AJ15" s="3"/>
      <c r="AK15" s="3"/>
      <c r="AL15" s="3">
        <v>1</v>
      </c>
      <c r="AM15" s="3"/>
      <c r="AN15" s="3">
        <v>1</v>
      </c>
      <c r="AO15" s="3"/>
      <c r="AP15" s="3"/>
      <c r="AQ15" s="3"/>
      <c r="AR15" s="3">
        <v>1</v>
      </c>
      <c r="AS15" s="3">
        <v>1</v>
      </c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>
        <v>0</v>
      </c>
      <c r="BE15" s="3" t="s">
        <v>105</v>
      </c>
      <c r="BF15" t="s">
        <v>148</v>
      </c>
      <c r="BG15" t="s">
        <v>51</v>
      </c>
      <c r="BH15" t="s">
        <v>149</v>
      </c>
      <c r="BI15" s="1">
        <v>1</v>
      </c>
      <c r="BJ15">
        <v>4</v>
      </c>
    </row>
    <row r="16" spans="1:62" x14ac:dyDescent="0.3">
      <c r="A16" s="3" t="s">
        <v>146</v>
      </c>
      <c r="B16" s="3" t="s">
        <v>48</v>
      </c>
      <c r="C16" s="3">
        <v>36</v>
      </c>
      <c r="D16" s="3"/>
      <c r="E16" s="3"/>
      <c r="F16" s="3">
        <v>1</v>
      </c>
      <c r="G16" s="3"/>
      <c r="H16" s="3">
        <v>1</v>
      </c>
      <c r="I16" s="3"/>
      <c r="J16" s="3"/>
      <c r="K16" s="3"/>
      <c r="L16" s="3">
        <v>1</v>
      </c>
      <c r="M16" s="3"/>
      <c r="N16" s="3"/>
      <c r="O16">
        <v>3</v>
      </c>
      <c r="P16">
        <v>11</v>
      </c>
      <c r="Q16">
        <v>13</v>
      </c>
      <c r="R16">
        <v>10</v>
      </c>
      <c r="S16">
        <v>4</v>
      </c>
      <c r="T16">
        <v>3</v>
      </c>
      <c r="U16">
        <v>1</v>
      </c>
      <c r="V16" s="3"/>
      <c r="W16" s="3">
        <v>1</v>
      </c>
      <c r="X16" s="3">
        <v>1</v>
      </c>
      <c r="Y16" s="3">
        <v>1</v>
      </c>
      <c r="Z16" s="3">
        <v>5</v>
      </c>
      <c r="AA16" s="3">
        <v>2</v>
      </c>
      <c r="AB16" s="3"/>
      <c r="AC16" s="3"/>
      <c r="AD16" s="3">
        <v>4</v>
      </c>
      <c r="AE16" s="3">
        <v>3</v>
      </c>
      <c r="AF16" s="3"/>
      <c r="AG16" s="3">
        <v>1</v>
      </c>
      <c r="AH16" s="3">
        <v>1</v>
      </c>
      <c r="AI16" s="3">
        <v>1</v>
      </c>
      <c r="AJ16" s="3">
        <v>1</v>
      </c>
      <c r="AK16" s="3"/>
      <c r="AL16" s="3">
        <v>3</v>
      </c>
      <c r="AM16" s="3"/>
      <c r="AN16" s="3">
        <v>1</v>
      </c>
      <c r="AO16" s="3"/>
      <c r="AP16" s="3"/>
      <c r="AQ16" s="3"/>
      <c r="AR16" s="3"/>
      <c r="AS16" s="3">
        <v>3</v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>
        <v>0</v>
      </c>
      <c r="BE16" s="3" t="s">
        <v>105</v>
      </c>
      <c r="BF16" t="s">
        <v>148</v>
      </c>
      <c r="BG16" t="s">
        <v>51</v>
      </c>
      <c r="BH16" t="s">
        <v>149</v>
      </c>
      <c r="BI16" s="1">
        <v>1</v>
      </c>
      <c r="BJ16">
        <v>4</v>
      </c>
    </row>
    <row r="17" spans="1:62" x14ac:dyDescent="0.3">
      <c r="A17" s="3" t="s">
        <v>147</v>
      </c>
      <c r="B17" s="3" t="s">
        <v>101</v>
      </c>
      <c r="C17" s="3">
        <v>23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>
        <v>2</v>
      </c>
      <c r="P17">
        <v>3</v>
      </c>
      <c r="Q17">
        <v>4</v>
      </c>
      <c r="R17">
        <v>2</v>
      </c>
      <c r="S17">
        <v>3</v>
      </c>
      <c r="T17">
        <v>2</v>
      </c>
      <c r="U17" s="3"/>
      <c r="V17" s="3"/>
      <c r="W17" s="3"/>
      <c r="X17" s="3">
        <v>1</v>
      </c>
      <c r="Y17" s="3"/>
      <c r="Z17" s="3"/>
      <c r="AA17" s="3"/>
      <c r="AB17" s="3">
        <v>1</v>
      </c>
      <c r="AC17" s="3">
        <v>1</v>
      </c>
      <c r="AD17" s="3">
        <v>3</v>
      </c>
      <c r="AE17" s="3">
        <v>1</v>
      </c>
      <c r="AF17" s="3"/>
      <c r="AG17" s="3"/>
      <c r="AH17" s="3"/>
      <c r="AI17" s="3"/>
      <c r="AJ17" s="3"/>
      <c r="AK17" s="3"/>
      <c r="AL17" s="3"/>
      <c r="AM17" s="3"/>
      <c r="AN17" s="3">
        <v>1</v>
      </c>
      <c r="AO17" s="3"/>
      <c r="AP17" s="3"/>
      <c r="AQ17" s="3"/>
      <c r="AR17" s="3"/>
      <c r="AS17" s="3">
        <v>1</v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>
        <v>0</v>
      </c>
      <c r="BE17" s="3" t="s">
        <v>105</v>
      </c>
      <c r="BF17" t="s">
        <v>148</v>
      </c>
      <c r="BG17" t="s">
        <v>51</v>
      </c>
      <c r="BH17" t="s">
        <v>149</v>
      </c>
      <c r="BI17" s="1">
        <v>1</v>
      </c>
      <c r="BJ17">
        <v>4</v>
      </c>
    </row>
    <row r="18" spans="1:6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20" spans="1:62" x14ac:dyDescent="0.3">
      <c r="Y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B1F8-7107-4E8F-B3B5-955AECBCA721}">
  <dimension ref="A1:J2"/>
  <sheetViews>
    <sheetView workbookViewId="0">
      <selection activeCell="H2" sqref="H2"/>
    </sheetView>
  </sheetViews>
  <sheetFormatPr defaultRowHeight="14.4" x14ac:dyDescent="0.3"/>
  <cols>
    <col min="2" max="2" width="13.44140625" bestFit="1" customWidth="1"/>
    <col min="3" max="3" width="17.33203125" bestFit="1" customWidth="1"/>
    <col min="4" max="4" width="17.44140625" bestFit="1" customWidth="1"/>
    <col min="5" max="5" width="16" bestFit="1" customWidth="1"/>
    <col min="6" max="6" width="15.6640625" bestFit="1" customWidth="1"/>
    <col min="7" max="7" width="17.21875" bestFit="1" customWidth="1"/>
    <col min="8" max="8" width="14.6640625" bestFit="1" customWidth="1"/>
    <col min="9" max="9" width="14.6640625" customWidth="1"/>
    <col min="10" max="10" width="7.88671875" bestFit="1" customWidth="1"/>
  </cols>
  <sheetData>
    <row r="1" spans="1:10" x14ac:dyDescent="0.3">
      <c r="A1" s="4" t="s">
        <v>26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49</v>
      </c>
    </row>
    <row r="2" spans="1:10" x14ac:dyDescent="0.3">
      <c r="A2" t="str">
        <f>Sheet1!AS2</f>
        <v>Ακριτες Συκεων</v>
      </c>
      <c r="B2">
        <v>12</v>
      </c>
      <c r="C2">
        <v>5</v>
      </c>
      <c r="D2">
        <v>6</v>
      </c>
      <c r="E2">
        <v>1</v>
      </c>
      <c r="F2">
        <v>9</v>
      </c>
      <c r="G2">
        <v>3</v>
      </c>
      <c r="H2">
        <v>3</v>
      </c>
      <c r="I2">
        <v>2</v>
      </c>
      <c r="J2">
        <f>Sheet1!BC2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A76F-9077-4409-9335-8C99849869D2}">
  <dimension ref="A1:D16"/>
  <sheetViews>
    <sheetView workbookViewId="0">
      <selection activeCell="B2" sqref="B2"/>
    </sheetView>
  </sheetViews>
  <sheetFormatPr defaultRowHeight="14.4" x14ac:dyDescent="0.3"/>
  <cols>
    <col min="1" max="1" width="14.109375" bestFit="1" customWidth="1"/>
    <col min="2" max="2" width="8.109375" bestFit="1" customWidth="1"/>
    <col min="3" max="3" width="10.33203125" bestFit="1" customWidth="1"/>
    <col min="4" max="4" width="24.21875" bestFit="1" customWidth="1"/>
  </cols>
  <sheetData>
    <row r="1" spans="1:4" x14ac:dyDescent="0.3">
      <c r="A1" s="8" t="s">
        <v>152</v>
      </c>
      <c r="B1" s="9" t="s">
        <v>154</v>
      </c>
      <c r="C1" s="9" t="s">
        <v>155</v>
      </c>
      <c r="D1" s="9" t="s">
        <v>156</v>
      </c>
    </row>
    <row r="2" spans="1:4" x14ac:dyDescent="0.3">
      <c r="A2" t="s">
        <v>153</v>
      </c>
      <c r="B2" s="10">
        <v>7686.4</v>
      </c>
      <c r="C2" s="10">
        <v>30.3</v>
      </c>
      <c r="D2" s="10">
        <v>373.3</v>
      </c>
    </row>
    <row r="3" spans="1:4" x14ac:dyDescent="0.3">
      <c r="A3" t="s">
        <v>102</v>
      </c>
      <c r="B3" s="10">
        <v>10570</v>
      </c>
      <c r="C3" s="10">
        <v>33.200000000000003</v>
      </c>
      <c r="D3" s="10">
        <v>485.7</v>
      </c>
    </row>
    <row r="4" spans="1:4" x14ac:dyDescent="0.3">
      <c r="A4" t="s">
        <v>146</v>
      </c>
      <c r="B4" s="10">
        <v>4026.2</v>
      </c>
      <c r="C4" s="10">
        <v>28.6</v>
      </c>
      <c r="D4" s="10">
        <v>189.4</v>
      </c>
    </row>
    <row r="5" spans="1:4" x14ac:dyDescent="0.3">
      <c r="A5" t="s">
        <v>52</v>
      </c>
      <c r="B5" s="10">
        <v>10694.1</v>
      </c>
      <c r="C5" s="10">
        <v>29</v>
      </c>
      <c r="D5" s="10">
        <v>598.1</v>
      </c>
    </row>
    <row r="6" spans="1:4" x14ac:dyDescent="0.3">
      <c r="A6" t="s">
        <v>128</v>
      </c>
      <c r="B6" s="10">
        <v>10898.1</v>
      </c>
      <c r="C6" s="10">
        <v>30.5</v>
      </c>
      <c r="D6" s="10">
        <v>698.9</v>
      </c>
    </row>
    <row r="7" spans="1:4" x14ac:dyDescent="0.3">
      <c r="A7" t="s">
        <v>145</v>
      </c>
      <c r="B7" s="10">
        <v>4482.3</v>
      </c>
      <c r="C7" s="10">
        <v>23.8</v>
      </c>
      <c r="D7" s="10">
        <v>58.9</v>
      </c>
    </row>
    <row r="8" spans="1:4" x14ac:dyDescent="0.3">
      <c r="A8" t="s">
        <v>139</v>
      </c>
      <c r="B8" s="10">
        <v>5434.2</v>
      </c>
      <c r="C8" s="10">
        <v>31</v>
      </c>
      <c r="D8" s="10">
        <v>281.2</v>
      </c>
    </row>
    <row r="9" spans="1:4" x14ac:dyDescent="0.3">
      <c r="A9" t="s">
        <v>138</v>
      </c>
      <c r="B9" s="10">
        <v>9760.4</v>
      </c>
      <c r="C9" s="10">
        <v>33.200000000000003</v>
      </c>
      <c r="D9" s="10">
        <v>357</v>
      </c>
    </row>
    <row r="10" spans="1:4" x14ac:dyDescent="0.3">
      <c r="A10" t="s">
        <v>43</v>
      </c>
      <c r="B10" s="10">
        <v>10214.200000000001</v>
      </c>
      <c r="C10" s="10">
        <v>32.4</v>
      </c>
      <c r="D10" s="10">
        <v>429</v>
      </c>
    </row>
    <row r="11" spans="1:4" x14ac:dyDescent="0.3">
      <c r="A11" t="s">
        <v>129</v>
      </c>
      <c r="B11" s="10">
        <v>7632.8</v>
      </c>
      <c r="C11" s="10">
        <v>30.6</v>
      </c>
      <c r="D11" s="10">
        <v>315.5</v>
      </c>
    </row>
    <row r="12" spans="1:4" x14ac:dyDescent="0.3">
      <c r="A12" t="s">
        <v>147</v>
      </c>
      <c r="B12" s="10">
        <v>2705.8</v>
      </c>
      <c r="C12" s="10">
        <v>31.3</v>
      </c>
      <c r="D12" s="10">
        <v>218.3</v>
      </c>
    </row>
    <row r="13" spans="1:4" x14ac:dyDescent="0.3">
      <c r="A13" t="s">
        <v>142</v>
      </c>
      <c r="B13" s="10">
        <v>9307.5</v>
      </c>
      <c r="C13" s="10">
        <v>33.299999999999997</v>
      </c>
      <c r="D13" s="10">
        <v>628</v>
      </c>
    </row>
    <row r="14" spans="1:4" x14ac:dyDescent="0.3">
      <c r="A14" t="s">
        <v>140</v>
      </c>
      <c r="B14" s="10">
        <v>11220.4</v>
      </c>
      <c r="C14" s="10">
        <v>31.4</v>
      </c>
      <c r="D14" s="10">
        <v>472.1</v>
      </c>
    </row>
    <row r="15" spans="1:4" x14ac:dyDescent="0.3">
      <c r="A15" t="s">
        <v>144</v>
      </c>
      <c r="B15" s="10">
        <v>4071.1</v>
      </c>
      <c r="C15" s="10">
        <v>29.1</v>
      </c>
      <c r="D15" s="10">
        <v>169</v>
      </c>
    </row>
    <row r="16" spans="1:4" x14ac:dyDescent="0.3">
      <c r="A16" t="s">
        <v>157</v>
      </c>
      <c r="B16" s="10">
        <v>6592.7</v>
      </c>
      <c r="C16" s="10">
        <v>26.5</v>
      </c>
      <c r="D16" s="10">
        <v>325.10000000000002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Dimitris Chatziliadis</cp:lastModifiedBy>
  <cp:revision/>
  <dcterms:created xsi:type="dcterms:W3CDTF">2024-09-04T13:27:17Z</dcterms:created>
  <dcterms:modified xsi:type="dcterms:W3CDTF">2026-10-13T17:04:19Z</dcterms:modified>
  <cp:category/>
  <cp:contentStatus/>
</cp:coreProperties>
</file>