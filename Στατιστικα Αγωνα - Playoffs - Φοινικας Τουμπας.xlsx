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"/>
    </mc:Choice>
  </mc:AlternateContent>
  <xr:revisionPtr revIDLastSave="1152" documentId="8_{BB149310-9C70-4F0D-AF38-12983800A995}" xr6:coauthVersionLast="47" xr6:coauthVersionMax="47" xr10:uidLastSave="{5B4625DE-3DA5-4F34-8C8D-E54404D3E4AB}"/>
  <bookViews>
    <workbookView xWindow="-108" yWindow="-108" windowWidth="23256" windowHeight="13896" activeTab="1" xr2:uid="{00000000-000D-0000-FFFF-FFFF00000000}"/>
  </bookViews>
  <sheets>
    <sheet name="Sheet1" sheetId="5" r:id="rId1"/>
    <sheet name="Sheet2" sheetId="6" r:id="rId2"/>
    <sheet name="Sheet3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I2" i="5"/>
  <c r="H2" i="5"/>
  <c r="G2" i="5"/>
  <c r="F2" i="5"/>
  <c r="AP2" i="5" l="1"/>
  <c r="AO2" i="5"/>
  <c r="AN2" i="5"/>
  <c r="AM2" i="5"/>
  <c r="AL2" i="5"/>
  <c r="AK2" i="5"/>
  <c r="AJ2" i="5"/>
  <c r="AI2" i="5"/>
  <c r="AG2" i="5"/>
  <c r="AF2" i="5"/>
  <c r="AE2" i="5"/>
  <c r="AD2" i="5"/>
  <c r="AB2" i="5"/>
  <c r="AA2" i="5"/>
  <c r="Y2" i="5"/>
  <c r="X2" i="5"/>
  <c r="V2" i="5"/>
  <c r="U2" i="5"/>
  <c r="T2" i="5"/>
  <c r="S2" i="5"/>
  <c r="D2" i="5"/>
  <c r="C2" i="5"/>
  <c r="B2" i="5"/>
  <c r="AP2" i="6"/>
  <c r="AT2" i="5"/>
  <c r="AS2" i="5"/>
  <c r="AV2" i="5"/>
  <c r="AU2" i="5"/>
  <c r="W2" i="5" l="1"/>
  <c r="AH2" i="5"/>
  <c r="E2" i="5"/>
  <c r="AC2" i="5"/>
  <c r="Z2" i="5"/>
  <c r="A2" i="5"/>
</calcChain>
</file>

<file path=xl/sharedStrings.xml><?xml version="1.0" encoding="utf-8"?>
<sst xmlns="http://schemas.openxmlformats.org/spreadsheetml/2006/main" count="228" uniqueCount="155">
  <si>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</si>
  <si>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</si>
  <si>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</si>
  <si>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</si>
  <si>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</si>
  <si>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</si>
  <si>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</si>
  <si>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</si>
  <si>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</si>
  <si>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</si>
  <si>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</si>
  <si>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</si>
  <si>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</si>
  <si>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</si>
  <si>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</si>
  <si>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FOULS COMMITED</t>
  </si>
  <si>
    <t>ASSISTS</t>
  </si>
  <si>
    <t>KEY PASSES</t>
  </si>
  <si>
    <t>BIG CHANCES MISSED</t>
  </si>
  <si>
    <t>CLEARANCES</t>
  </si>
  <si>
    <t>INTERCEPTIONS</t>
  </si>
  <si>
    <t>SAVES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</si>
  <si>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</si>
  <si>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</si>
  <si>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</si>
  <si>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</si>
  <si>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</si>
  <si>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</si>
  <si>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</si>
  <si>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</si>
  <si>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</si>
  <si>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</si>
  <si>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</si>
  <si>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</si>
  <si>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</si>
  <si>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</si>
  <si>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</si>
  <si>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</si>
  <si>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</si>
  <si>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</si>
  <si>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</si>
  <si>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</si>
  <si>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</si>
  <si>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</si>
  <si>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Team</t>
  </si>
  <si>
    <t xml:space="preserve">Round </t>
  </si>
  <si>
    <t xml:space="preserve">Half </t>
  </si>
  <si>
    <t>Total Shots Mpam</t>
  </si>
  <si>
    <t>Total Shots Opp</t>
  </si>
  <si>
    <t>Shots On Target Mpam</t>
  </si>
  <si>
    <t>Shots On Target Opp</t>
  </si>
  <si>
    <t>Shots Off Target Mpam</t>
  </si>
  <si>
    <t>Shots Off Target Opp</t>
  </si>
  <si>
    <t>Shots Blocked Mpam</t>
  </si>
  <si>
    <t>Shots Blocked Opp</t>
  </si>
  <si>
    <t>Inside the Box Mpam</t>
  </si>
  <si>
    <t>Inside the Box Opp</t>
  </si>
  <si>
    <t>Outside the Box Mpam</t>
  </si>
  <si>
    <t>Outside the Box Opp</t>
  </si>
  <si>
    <t>Big Chances Mpam</t>
  </si>
  <si>
    <t>Big Chances Opp</t>
  </si>
  <si>
    <t>GK Saves Mpam</t>
  </si>
  <si>
    <t>GK Saves Opp</t>
  </si>
  <si>
    <t>GOAL Mpam</t>
  </si>
  <si>
    <t>GOAL Opp</t>
  </si>
  <si>
    <t>ShotMap</t>
  </si>
  <si>
    <t>1st</t>
  </si>
  <si>
    <t>2nd</t>
  </si>
  <si>
    <t>Location</t>
  </si>
  <si>
    <t>ΣΑΚΑΛΑΚΗΣ</t>
  </si>
  <si>
    <t>ΚΑΡΑΓΙΑΝΝΙΔΗΣ</t>
  </si>
  <si>
    <t>ΠΑΡΛΑΚΟΓΛΟΥ</t>
  </si>
  <si>
    <t>ΚΑΠΑΓΙΑΝΝΙΔΗΣ</t>
  </si>
  <si>
    <t>GK</t>
  </si>
  <si>
    <t>CB</t>
  </si>
  <si>
    <t>CM</t>
  </si>
  <si>
    <t>AM</t>
  </si>
  <si>
    <t>CF</t>
  </si>
  <si>
    <t>Game ID</t>
  </si>
  <si>
    <t>Surface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</si>
  <si>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</si>
  <si>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</si>
  <si>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</si>
  <si>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</si>
  <si>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</si>
  <si>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</si>
  <si>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</si>
  <si>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</si>
  <si>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</si>
  <si>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</si>
  <si>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</si>
  <si>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</si>
  <si>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</si>
  <si>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</si>
  <si>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</si>
  <si>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</si>
  <si>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</si>
  <si>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</si>
  <si>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</si>
  <si>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</si>
  <si>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</si>
  <si>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</si>
  <si>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</si>
  <si>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</si>
  <si>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</si>
  <si>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</si>
  <si>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</si>
  <si>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</si>
  <si>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</si>
  <si>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</si>
  <si>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</si>
  <si>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TOTAL POST-DUEL ACTIONS</t>
  </si>
  <si>
    <t>POST-DUEL ACTIONS SUCCESS</t>
  </si>
  <si>
    <t>Total Post-Duel Actions</t>
  </si>
  <si>
    <t>Positive Post-Duel Actions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</si>
  <si>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</si>
  <si>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</si>
  <si>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</si>
  <si>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</si>
  <si>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</si>
  <si>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</si>
  <si>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</si>
  <si>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</si>
  <si>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</si>
  <si>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</si>
  <si>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SECOND BALLS WON</t>
  </si>
  <si>
    <t>SECOND BALLS LOST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</si>
  <si>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</si>
  <si>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</si>
  <si>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</si>
  <si>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</si>
  <si>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</si>
  <si>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</si>
  <si>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</si>
  <si>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</si>
  <si>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</si>
  <si>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</si>
  <si>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ΠΑΝΑΓΙΩΤΟΠΟΥΛΟΣ</t>
  </si>
  <si>
    <t>ΡΙΣΚΟΣ</t>
  </si>
  <si>
    <t>ΚΥΡΑΝΑΣ</t>
  </si>
  <si>
    <t>ΕΜΜΑΝΟΥΗΛΙΔΗΣ</t>
  </si>
  <si>
    <t>Date</t>
  </si>
  <si>
    <t>Φοινικας Τουμπας</t>
  </si>
  <si>
    <t>Νικη</t>
  </si>
  <si>
    <t>Εντος</t>
  </si>
  <si>
    <t>Πλαστικο</t>
  </si>
  <si>
    <t>Playoffs</t>
  </si>
  <si>
    <t>ΘΕΟΔΩΡΙΔΗΣ</t>
  </si>
  <si>
    <t>ΣΕΦΑ</t>
  </si>
  <si>
    <t>Αλλαγη</t>
  </si>
  <si>
    <t>ΔΑΝΙΔΗΣ</t>
  </si>
  <si>
    <t>ΚΑΚΑΤΑΤΣΙΟΣ</t>
  </si>
  <si>
    <t>ΑΛΕΞΙΟΥ</t>
  </si>
  <si>
    <t>data:image/png;base64,iVBORw0KGgoAAAANSUhEUgAAAc4AAAEsCAYAAABKalM5AAAAAXNSR0IArs4c6QAAAARnQU1BAACxjwv8YQUAAAAJcEhZcwAAEnQAABJ0Ad5mH3gAAC3dSURBVHhe7d15fJTVvT/wz5nse0ggGyTsAcJuAsiqqKWKgEUqCi6IQmxta2+xatv7u+q97bVaq15b1wCiWMAVFSgKKiAiKIRFdgIEEiAJCYTsIev5/fFMMvOczCR5kplkZvJ5v168zHzPEwiRPJ855zmLSE5OliAiIqJWMakFIiIisk8kJydLpKeqdSIiIlKlpFkF57J9wBvp6iVE1AnE8tsgR0YDKWlqExF1hokJwMs3AylpHKolIiIygsFJRERkAIOTiIjIAAYnERGRAQxOIiIiAxicREREBjA4iYiIDGBwEhERGcDgJCIiMoDBSUREZACDk4iIyAAGJxERkQEMTiIiIgMYnERERAYwOImIiAxgcBIRERnA4CQiIjKAwUlERGQAg5OIiMgABicREZEBDE4iIiIDGJxEREQGMDiJiIgMYHASEREZwOAkIiIygMFJRERkAIOTiIjIAAYnERGRAQxOIiIiAxicREREBjA4iYiIDGBwEhERGcDgJCIiMoDBSUREZACDk4iIyAAGJxERkQEMTiIiIgMYnERERAYwOImIiAxgcBIRERnA4CQiIjKAwUlERGQAg5OIiMgABicREZEBDE4iIiIDGJxEREQGMDiJiIgMYHASEREZwOAkIiIygMFJRERkAIOTiIjIAAYnERGRAQxOIiIiAxicREREBjA4iYiIDGBwEhERGcDgJCIiMoDBSUREZIBIHjdG4vtFap0U4rnvID88opaJnEIsvw1yZDSQkqY2ETmFmDsU8vGJaplUKWkQycnJEumpEFnFkJtOqZcQAKQmMzipQzE4qaOJO4ZCPjERSNurNhEAjI8HhkeZg9Pc4xTbsyGXfKFeSgDE7sXA8zsZnNRhGJzU0cTcocCjEyDHLVWbCACWTADmDwNS0viMk4iIyAgGJxERkQEMTiIiIgMYnERERAYwOImIiAxgcBIRERnA4CQiIjKAwUlERGQAg5OIiMgABicREZEBDE4iIiIDGJxEREQGMDiJiIgMYHASEREZwOAkIiIygMFJRERkAIOTiIjIAAYnERGRAQxOIiIiAxicREREBjA4neTyoFk4Of0VHL7zE5yYuRQXR9ytXkJERG6IwekEZ6b+GWevexIl8deiKiweZbGjcf7a3yFjxhuQXr7q5URE5EYYnA6WN3IBCgfeor2QVg0CKI1LQfaEx6yKRETkbhicDnZpyGxAqFVLiF4aMht1PoFqKxERuQkGpwPV+QSiKrSXvqdpw9XwPmqJiIjcBIPTgbxqrwKyhdQE4FVbqZaIiMhNMDgdSdYj7PxOtWohAL/ibPhfOaO2EBGRm2BwOljM/hVqyUICsfuWqVUiInIjDE4HC847gP6blsC3NEdX96qpQMK3zyDy5EZdnYiI3AuD0wnCs7Zj+JpZGPDFfyBhx7Po9+XjGPHuNPQ4tla9lIiI3AyD04nCsnegx9GP0O3MFphqr6rNRETkhhicREREBjA4iYiIDGBwEhERGcDgJCIiMoDBSUREZACDk4iIyAAGJxERkQEMTiIiIgMYnERERAYwOImIiAxgcBIRERnA4CQiIjKAwUlERGSASB43RuL7RRDbsyGXfKG2EwCxezHw/E7ID4+oTUTtE+QLMaU35MR4ICoICPcHQv2A7oFae0kVUFIFUVIFVNYC35+H/C4byCoGqmrV342o7X6eBPxhEpCSpra4j/RUteJ4KWmW4HQ6N/6fweAkRxAjYiBTYoGHx+jrFTXAt9mQ54qBoqsQxVWQC0cB/boBT3wFEeYHhPlDBvoAkxOAARH6z995DvL788DqQ7o6kRFi7lDg0QmQ45aqTe4jPRVi7DLI+nq1pf0mJgAv3wykpHGolqhD/Gky5FuzGkNTnLgM8cy3QOp6yCkrIP/za+CNdOC9w5Cfn4QordY+7+tMyLXHIFfsB17dDdz1EcTMNcCvNkKsPQYAkBPigSXjgS/uAYZFWf+pROQEIjk5WSI9FVi2T/vBdTBhMkHuXsQeJ3Upwtcb+OgOyLgQrbDlDPCnr4Ha1r0TFstvgxwZbeznZkYi8OR1gEkAAMSfvobcfFq9isgm9jhbwB4nkXOIJeOB7Qshdz4A7M8D5nyghd/jX7Y6NNtsQwYwdqn25y1aB/m/N2jPfDbfCwT7qlcTURsxOIkcQEzuDaSnQk4fCPHuQSAlDfKprUBWkXppxziQB4xZCnHLKmDTaWDb/cCaOepVRNQGDE6i9ooOhnzppxB1EmLWe5BL96pXdBpZUA68sBP4/BQwMBL402SIED/1MiIygMFJ1FZxIdpQ6L/nA09uhRy3FLLCPKnH1fzXFmDcMuDmAZBbF0C8dqt6BRG1EoOzFaRaoK7NJCAeGQesmwc8v1N7prjxpHqV66mrB6asAMYtgxwTB+x6EJiTpF5FXZnQJpZR8xicrWESgJ+3WqUuSiybBXnfSOB8CfD+YbXZ9dXVA7/8N+DjBfxxEv9tk2ZPDqQHJIJTZtQqPODb1DHkf4yDWM3JFV3etvshEyMh/vg18LP31Fb3kZ4DMWYpxKt7gO8eAHqFqldQFyJWz4H88A617JaEyfmxZvhPKI8ahuyJjyNjxhs4/ZPnUTCki4RJxmXIxEhg6wK1hbqKPYuByhpg0luQX7r/+kgpJeSK/RCL1wOf3gVMiFcvoa5g6wLt3pZxWW0hOwwF58WR9+L47LdRMGwuSmNTUNR3KrIn/xEnZi1FrZ+Hv2PddlZ7liWEtsh25iD1CvJU943UJgGdKwFuWaW2uj25Pxdi7kfAP24Bdi9Wm8lDiZmDtH/XQmj3tm1n1UvIjlYHZ0n8eJwf91vthQRg9Qy5LGY0sqf8P0vBk6WuBwDIp65TW8hTPTJO++/Cz9QWjyEzC7WN5E0CYkxPtZk8UOM9zHxPo9ZrdXAWDLld+8DOFNMrfW9AZbd+atnzZFwG5n8MlFVz2LYr2PUgUFoF3P4+UHxVbfUo8oZ3tB2HXr+Vzzw93dYF2j1s/sccom2DVgdnRY+haqmJyshEteSZMi4D178NhPhxwpAn23i3NtFg6jtAdrHa6pkO5AF/3q498/Rq9e2B3IhYPQcI8dPuYQzNNmn1T4aoa3lht6irUUueLSVNe6h+fR+1hdzdglFAVJB7b3jdVp8dBw5eBH5YpG1sTZ7j+j7aPcvI4QHURKuDMySn5ZNTgvMPqiXPl1sKPHUdtzHzJEk9IB4eA5ztpH1mXcHvN2v//ctUtYXclIgLBZ66TrtnUbu0OjijD62GkHVquVH0wVXwKS9Qy55v5hogxA+Szzs9x8rZkF4C+PkHakvXUVgJvJ6uDektukZtJTck192l/f+cuUZtIoNaHZz+VzLRf9Oj8CnP12bUSstEoR5HP0Kv719SP6XLELPeA8qqId6cqTaRmxHr5kFcKAWuXaY2dT3L9wE3rQR+kaK2kJsRq+do96ip76hN1AatDk4ACMvegeGrZ6LPlicRc+At9Nz9Dwz55F4k7HhWvbRLkTklEC/sgkyOVZvIzci4EMg/f+P8szPdRZF5JvG0/moLuRGZGKndo0qr1CZqA0PBCQBC1iHy5Eb03PMaYn5cicCCY+olXZJcf0L7IDVZbSI3Id6cCVFVB6TnqE1d24PrgGduBJ6YpLaQOzDfkxrvUdRuhoOT7BOz3mNwuqt/3a6NGFz/ttpCP+ZB1EngDp6k4pZSk7V7EzkMg9OBZE6Jtqj46evVJnJ1g7sDpVWQNfYnwHVps98H6iXw+ES1hVzZ09cDZdXavYkcxiTMPSQRG6K2UVuszwBmJHJ5ijsZ3F3777tdcDlVK8mcEuCLU8DswWoTuSgR4gfMSNTuSdR+AyIAAGLeMJhkw9Aig9MxXtgJAJCrzFsUkuv71+0Qb+0H3tqvtpC1J7dqZ3h6c6DKHTTeg8z3JGqngVpwynnDYeIOEk6QWwrE8Y2IO5Gv7VFLZIPILwf+eqNaJlcUF8LNDpxh1ho+43QGMX+t9qzz0QlqE7maJeMhqvlcs9V+/Tkwta9aJVfz6ARt3eb8tWoLOQCD0wlkaRXE3lwIrut0fbcMgNxyRq2SHTKzUC2RCxLJsRB7c7lu00kYnM7y9DZtM2Vybd0CgKe2qVVqydyWT0uiziMTI4Gn+e/aWRicTsJ3eq5PBPpqH9RxlyAjxL9PQjzEbfhcHe9BzsPgdDYeOea6OJTeNntzIMP8eNi1q+I9x+kYnE4kvsmCmD9cLZOLkAtHQey+oJapBXKdtnWbeGC02kQuQMwfDmzg2k1nYnA6kVx/AvKaWO0cPHItUUHAiGjIVYfUFmolefMAtUSdTMSFQl4Ty00PnIzB6UzbzgIA5IyBagt1MjEpQftg1zm1iVrL10utUCdrvNfs5UEFzsTg7AjcDMHlyPgw7YN686GyZIzk980ViUHm7SPJqRicHWFGolqhzjYpXq2QAWJfnloiFyCv662WyAkYnA5Q698Nhf2noSDp5yjtOVZtdjk1gd1ROOBmFAyZg9K4LrqsoHe4WiED5MGLaomoy2BwtlPe6Afw431f4syNzyB78h+QcetrODpnNcqiR6qXuoSc5FQcvOcLnLnhL8ie/EdkzHgDx2evREWPLnbWokmoFTLiaq1aIeoyGJztkDfyPlwY87ClYH7sUxmZiFO3/B+qQntZ2lxAbvJi5CanqmWU90jCqZtfQk0gn49QKxVdVStEXQaDs43qvf2Qm/xQY1iq6nxDkDfyPrXcaWr9w5GT/JBablQTEOlSXy+5uGItOBt3XyLqQhicbVQWm4x6bz+gmRG/kvjxaqnTlMZeo5aaKOnlOl8vuQmvZn4AiDwUg7ON6rwD1FITdT5BaqnT1Pu0/PXW+7rO10uuTQT6aB+U16hNRB6PwdlG/kUtH0UVWHhKLXUa/yvaZgzNCSg8qZaIbJIR2hsxWc8N8qnr6dDgLI8ejkuDZuFK/2luPxEl4EomwrJ3qGWdyOOfqqVOE1RwBCE5e9SyTuTxz9SSxxJ1dh5OU+uYg5OoK+qQ4LxaHKYte7htBbKuexKZNz6Dg/d8oZ+R6oYSdjyLADu9yqhDqxF5cqNa7lQJ3/4V/sXZ+qI5P2IOvI1uZ7bo2zzZhRK1QgaIkTFqiajLcHpw1nv74/SmnzZdaC+1NZAXxv5aX3cjvmV5GPLJvYjb+yaC8g/Drzgb4Vnb0e/LJxC/68XG68S+XN3ndRb/4mwMWXsPYvctQ1DBUfPXuxX9Nz2KnrtfUS/3aDK7WC2RETxSzDVlXFYr5AROD868EffiapGNXVrMk/HyRt2P6mD3PRdR1NUgdu9SDP70fgx7/3b037QE3c58rbtGprvOhsummgrEpb+BwZ/cp329mx9DeNY36mUeT3xn3tzdz1ttolaQYX5qiVyB+WAJci6nB2dJr2vVUhNNeqOewnygrNjASTcuZ4d5yHq8a21S4Vaq69QKdbLGe01ynNpEDuT04GzNkow6n0C15BkSIwEAMofP01yNzC3Vbvzm/0fUBhzudjmN95pk9x3FcwdOD86AK6fVUhP+RR46vDAjEVhzWK2Sq1h9COL+UWqVWiASzI9e3j2oNpEr2JDBE5mczOnBGZmxQS3pBF46htALP6hlzxAXArywU62Sq0jbC8nDmI17cDRETinw7wy1hVzB09t4BrCTOT04w87vQuw1+9QyAMCn8jISvv2rWvYIIo6zDl2e+RmdMDn9x8CjyFsHQr6RrpbJxYgQTuBylg65Y8SlpGPApiUIz/oGvqU5CCg8hehDqzHk47sRVHBUvdwz8BmD+0jhRAqjxA7zrGRyXebJieR4HRKcABCWtR39Nz2K4WtmIemju9Br14vwqbikXuYRRIgf5JJr+XzTDYi39kP+/SdqmewxDwHKEh4r5tLWHIZcci17nU7SYcHZlchVtwMhfny+6Qbka3uAhg3LqWXLZ0FsbnnCH3WyF3YCIX7avYgczoT0pgcbUzvFhQC5pWqVXJWUwC88dC2xo/UIgnxyq1olV5RbyklCzrBuHnucjtYwKUhwmNZtiO3ZwPzhPJS5BSI+TPuglieiuIX12qxnTlR0PBNS0gAAcl/HbgsnTV4oiR+Pwv7TUNEjSW12W3LVbGBDBuTqQ2oTuSj56CYg0Afy3/PUJmoQEwz58VwI/rt2H2l7tXvRqtlqC7XF5+YDPWat6ZweZ8HQufjx3q9w8pZ/4syNz+DY7JU4MWspKiPde9GuiAvVnm0+vU1tIle35wIQ4gfhw3WdtojP5gEmAfniLrWJXNnT27R/1+x1OlSHB2dB0s+RPelx1Pnpx97Lokfj5C3/QE1QlK7uVp66DiirVqvkDpbtBwDI+0aqLQRAegmeYequyqq1Wf7kMB0cnAI5Y36pFjUCqAnsjtxRC9UWtyGTYyFmrlHL5A725gC3rgZ+yUlCKrFuHkR+OeSUFWoTuQExcw3XdDpYhwZnac8U1PqFNR6ebEtxwkS15PJEXCiwdQHEvlzI0iq1mdzFxTKIrGLgq/u4RKVBXAhkXAjk9FVAVa3aSm5AllZp53RuXcB1nQ7SocFZ59vy1Og6P/PMPTci192lrZlKXa82kZuRc94Hwv2B7e478uEwS8YD6+YBr+xWW8jdzP9Yu0dtXaC2UBt0aHD6FWeppSb8W3GaiksxH0sl9uWqLeSuGtbg9uumtnQt84dr/135o9pCbqjxHsWj9NqtQ4MzoPB08yehSKB7C6epuJzVc4Dfb2Zv05PMXAPxv98CH9yhtnQZYuVsoF5CLPwMqG/m2Qq5DZm6Hvj9Zu2eRe3SocEJAPE7/ga/UttrRrtnfIbux9aqZdeVnqo9O9jmoeeJdmHyk2PAmSvArgfVJo8nZg6CTOoBjF0Keeii2kzubNtZ7Z7FHePapcOD0784C4PX3ovoQ6vgX5wF76tFCM7bj97b/4Le3/xZvdx1mWepiYfcrIdMrfebzwEfL2BQd7XFo8n/mgJx+opaJg/ReM/iTNs26/DgBADvqmL02vUShr4/ByNX3oRB6xaj+/FP1ctc19YFwN+nAfM/5ixaT5ZXBixaB6y6Hfj8brXV44jE7sCOB4Dyasg7P1SbyUPI0iptstDfp2n3MjKsU4LTrW1doO3E8d/faEMe5NkO5AEvfQ/0CAI+uVNt9RyJkZCrb4fw9QKmvqO2UgfKHz4PJ299DUfnrEbmTc+iqM/16iXtl3FZu4eF+DE824DB2Uri+j7acwEhgJQ0yPUn1EvIU606CKSkAb209boe57o+2oSRRzdDjl2qtlIHqfcJxImZaTg34VGU9ByLyshEXOl3E05P+zvOjX9Uvbzd5PoT2r9rIYD0VO0eR63C4Gwl2TCFm7Nnu67/3KK9Q7+2l9ri3v7+E4iKGuAbTnLrTNmT/oCymGtsbhCTP3weLg2apZYdw3xPa7zHUYsYnK2VcRli6jscnu3KNp8GFnwKvDJdG30Idu9jyMSqOdrfI6+M2+l1spqgKFweOB0QaouZAC4NcdIyEvO9TeRXqC1kB4OzNeolxCfHORGIgCP5EBPeAj49Dmy7H5jjhkfimQSwZzHkwAiIN/cC3F+501WG91VLehKo6D5IrTqMLK0C3t4PwaNWW4XB2Qr23gRS1ySra4G/bIe440Pgj5O0Xps7nKri7w2xezGwezHEoXxtnebSvepV1AlMdVU2h2itmWoq1ZLjyRa+CAIYnERtJ89cgfj6jPbikXEQw6PVS1yKWHsnpEl7GygXrVObqRMF5x2AV3WJWtZpdtc16lAMTqJ2kE98qc1MTNsLueI2YMsC4CEXOposJhh4wtwr9veGGLtM+3q5jZ7Lid23TC1pzENeMT+uVFuokzA4iRwhba8WSAfygEWjten9T14HEd85p/2IpChgz2Jgw3xg9mCI2e9D3vAOZD0fYrmq6EOrEbfnNbUM39I8DNj0OwQWHFWbqJMwOIkcackmiDs/hqiXkLMGQa6dCzF3qHqV04i4UGD1HMiVP9PW531wBJi1BvJcsXopuaDY/W9hxKrp6P3N/6DXD/9A/y8fx/DVMxCW9a16KXUikZycLJGeCizbB7yRrra3mzCZIHcv0t6NuymxezHw/E7ID4+oTUT2hfpB/HQA5BPmw9nrpbacaem+FtdMiuW3QY6MbvHnRkQEAr9IhrwmFugTrhV3ngO+OAVsPKleTmTfz5OAP0xq8d+cS0tPBX6xocWJVm0yLAr4zVggJY3B2RoMTnKIWxOB4VHaDcqKqKgBvs3WeoVFVyGKqyAXjtLOA33iK4gwPyDMHzLQB5icAAyI0H0+jl/SzlpccQDySgfMvCSPJOYOBR6dADnOjXeP6ohTX3TB6WxuHJxITwWe3QF8xGcM5GBBvhBTekNOjAeig4Awf4gwf8jIAK29pAooqYIoqQIqayF/OA+x6zxk5hWgqlb93YjazCOC05mWTADmD9MHp8gqhtx0Sr3UcdLceL1YeirEc9+xx0kdprVDtUSOwuBsgS44x42R+H4RxPZsyCVfqJcSh2qpEzA4qaMxOFtgFZycVUtERGQAg5OIiMgABicREZEBDE4iIiIDGJxEREQGMDiJiIgMYHASEREZwOAkIiIygMFJRERkAIOTiIjIAAYnERGRAQxOIiIiAxicREREBjA4iYiIDGBwEhERGcDgJCIiMoDBSUREZACDk4iIyAAGJxERkQEMTiIiIgMYnERERAYwOImIiAxgcBIRERnA4CQiIjKAwUlERGQAg5OIiMgABicREZEBDE4iIiIDGJxEREQGMDiJiIgMYHASEREZwOAkIiIygMFJRERkAIOTiIjIAAYnERGRAQxOIiIiAxicREREBjA4iYiIDGBwEhERGcDgJCIiMoDBSUREZACDk4iIyAAGJxERkQEiOTlZIj0VIqsYctMptZ0AIDUZ4rnvID88orYQOYVYfhvkyGggJU1tInIKccdQyCcmAml71SYCgPHxwPAoICUNInncGInvF6mXkILBSR2JwUkdTcwdCvn4RLVMqpQ0S48Ty/YBb6SrlxB1ST2Ca1BQ5qOWOwyDk8jFTEwAXr4ZSEnjM04ia6kTc/D1Iz/i818dxKZfH8Qj159HqH+dehkRdWEMTiKzGwddQeqkXIQF1AIAIoNqcN+4i3jvgaP4yeAr6uVE1EUxOInMJvYvUUsAgKiQavz1tkzMGVWgNhFRF8TgJDLrG1mplnT++NNsjOtjO1xt6RN5Fc/eloml809g7jWOCd1Q/zoE+tbB16seJiHVZjKbe00B/jn3JJbceF5tImo3Tg4iMtv+u/0I9K0HAGReCsCLW3rhsZvOoXfE1cZrLhT5YeG/BqOw3NvqM5sK9a/Fsrsz0K+7JYyf2ZSAtQd66K6zRyy/DTPCTiPx9c/RM7wKvcKr0DuiCl6mpmFZVy9Qa/5VV6+9rpfa68Jyb6w/FIkP9kWpn+ax/vPmLMweeanx9eZjEfjTur66a4gM4+Qgoqb8vC2hVHLVC9+fCcVjn/TThWTP8CrcOzav8bU9C8fn6UITAG5ILNK9tsckJF668C88tecdzEvJx5QBxejX/arN0AQAL5OEn3c9gnzrEOpfh26BtYgMqkF0SDWGxFTg8Z+cw+qFxwz1lu3pFV6F5ITSJn83VzFz+GVdaALAtCGFmDaEz6jJcRicRGZlVV6NHwf6ajNpMy8F4JlNva2uAm4dehlC6EpNTOjXNKR6datSSza9fMcpTCrPUMvtkhhVgVfvPNn492qLKQOK8MGio3hzXgY+ePCoSw6Dzhh2WS0BAEb1KlVLRG3G4CQysw7OIPOQLQBsOxmOLRndGl9HBNVicn/7vcfR8WXob6NH1iu8Cj2Ca9Syzvi+JRjft2nollz1xuGcIGw/FY4dp8Ow60wodmeFYm92CA6cD8bBC8E4khuEY3mBOJkfgMxLAcgq9Fd/G/x8dNuftf526gX4elm+L/NTLuJWO0FlxMNTLuDL3/yILb/9Eb+YnKM2t9q1fUuQnGA7IIfFlqslojZjcBKZ+XhZhkJr6/Vdyo2HI3SvR/S0fyNOsXPzBoC+3S3PS21Rb/xv7YrB9NeG44aXR+L+dwdjycf98R8fDcBvPhiIh98biIfWJGLRqkF44F+DsGDlYNz7zhDMW5GEucuTMGfpUDz97z663y8loUz3urWmDy3UPett8MD4loetm3ND4hU8MD4P3QJrEepfi0UTcvH87NPqZa0ya7g+xK3fOPQIaf4NC5ERDE4is4b1mwBQetXS+wSA7Ct+utdRzdyIR8fbD6f48KbhY0393M8Odkd+qa+uZsSGw5E4X2T52q/tW6xrb63R8bbfDPSOuIqbkwrVcqvZGtKemliExRNz1XKLbhps+TrKq71QXGl5Nh0W0PYhaiIVg5MIQKBvPfy8LcOQpVbDtgBwXgnO6JBq3esGAT71GNvbEgbqcGlLzznD/C3hnR/QDResQq+tDl4IavzYJLQJTkaN6W0JTutAAoBbhrY9OAdFV6glAMBDk3IwsV/rQ35qYhFMVoMEn/0Yieo6S8HXq77F59JErcXgJFJ6mwBQelUfDtV1Jl3PLybUdnCOV3p0e7NDdK97htv+vAbWw8U1Jn14t50+MYzmR0RQLXpZhe3JggDkFFu+FxP7FSMpxv7QdXOC/Sw9QevfEwCW3Hhe196cAT30z5Qz8gNRYxWcMIcnkSMwOIkAdAtUglPpcQJAXonlxh4bZrvXlqw8Q9x/PhiVNZYfs14tDNXqnrM6KDilsorFaM9LDcVTBQH4/Eikrja1lUttWpJrFZ69I67ikesv6NrtUZfHaMGpv71ZLzciag8GJxGA8CY9zqahZR2cJgEkRjWdOas+C9yVGYpsq+Ha3hG2A7eBt8nSK6oxNb/JQlsZDc6Byt/zdEEANhzWB+eoXvaf6xrx0pZeute3jypoEoq2WM9irqg2ISM/ANW1+r+o9VA8UXswOIlsPLO8ZONIsbPK88r+yvBgfLcqXZgeOB+MokpvXCiyBK6fdz1iw+wP13rrhmodE5zqcGdJZdM3Bc0JtXruCgBZhX44d8UPJ/MDGmuj48sccorMloxu+Gi/fnelu5KbX0Lj4yXRz2q2ckZ+IADonnGCwUkOxOAkAtAjWB9m+aVNg/PMJX1w9o3UD7taTwoCgP3nggEAF5VZsdbPC1W+VsFZJxzz46kGZ7Hy/LYlXsqeuHXmpTr7z+uf37Z1xq7qvb367QG1Xqf9IW51mUxOsTahSh2q9WVwkoM45ieTyM11VzYmsB6WbXD6kqWHBRs37GuU55t7z2nBov5esaH2g1M/OchYwNkT4GMJztKrXk2eebbES7lL1ElzcJrfGDRobm2rEWcv++NjZU/fO5Pzda+txSszlRu+3+rkIH8fg39xIjsYnERAkx198kqbLgPJvOSP8mrLMKfa47Te+KC8WtvrFsqEFzQzI9ckpG4/WkfNqrV+ptmW6FBPYak1B1LDG4MGg6JsLy1pi/eVXuecUQWYPMB2j1Z9I9IwNF5Rrb+9Wb+BIGoPBicRgOhQS3CWV3vZPf1kX7all9Wve2XjxJnR8WWIDLL8HrvPWkKlYeiwgfWfZc26twkAdQ4KTuv1jdLcWzRC3Vy+ocdZWO6NTKte+NA4xwVn5iX/JuFpb1OEOGWJT8P3u0hZbxrdzKYVREYwOImU3khxM5NnjuVpE08aTBmgLcP46RD9JgDWw5jnlM0T7PU41eUSrtLjVAPdegjU+vvh61XfZOej9vjHtp66DSCSYsqROrHpXrYje+r/zD1Z2puWi8oQebSd7zuRUQxOIgDeVr2qhqFIW7afCte9ntCvBD2CazB9qH6f1M3HLXvblld74XK5ZbKRveCsb0uqtYKwikujzzdhIzitl3mcMM9gbTAkxnG9zqpaE5btjNXVHpyQhzirNbQxodrRaQ0O51h2SVInZanD8URtxeAkAuBr1durrbf/Y3H8YqCulzWyZxkWTcxtPAAbAL44GtFkOcvFEstrdQZvA3Uyi3e9Y2aB6nuc9t8U2GP9pgLKbNWjufrgHGxnC722Wn8oEl8dt5xM42WSuH2U5bzNJjOZz1t6+upORN2DbH/fiYyyf4cg6kKsn+OpJ6OoGib9NJgzSr/O8IN9+mdzUJaABPrW2zwXU/1zvWXTa9pCF5xt6HGqy1mqrHqcB84Ho9oqSB0dnADw9vcxutezhl9qnLCkbrywz2rCUn6pL6pqLV9bTBh7nOQYDE4idRlIM0O1sDFca+2DfT10m6o3KKrQT1SJDNJvKgDz+kjr4VqvegcFZ5uebFokWZ1leaHIDyXKOtAjOZZeZ7/ulYiw8Xdrj+MXA7HlhOV7HhFUizuTC3DL0ELMGmEZIq+pE9iZqX9TY70USN3kgqitGJxE6h6xLfQ4D+UE6YYPGxzOCcLfv4pXy4D5IGprEYG2ez/Ww8SO6nFaqzM4+js4ukK3I5A6OQo2nnOO69P0qLD2Urf4mzn8Mv4844yu9v7eqMbNGRpYD5FHBtUgwMfgN4DIBgYnuawewTWYmliEh6fk4KU5p7Dp1wfxw2P7sGPJfmz57Y94c15GszvKGGG9R2xzk4MavLUrBgcvWJ6nbTkRjiVrB6DeznKPy8ryFnunpNRaZaW3g3qc1stRjJ6NMtSqtwkbIQlliQ4AjElwfHBuPxWOQ1YTfxKVNaOZl/zxf1v1+9wCQH6Z/jmn9cQiorZicJLLCfWvw9O3nsXnvzqI52efxgPjczF5QDEig2rgZZLw96lHqH8tkhNKcfeYi+qnG+ZlkrpwaanHCfN+qA/8axB+v7Y/fr+2Px7/tL/dtZ8AkH1Fv12fuutQA12P00HB2Z7lKGrv0VaPc9vJcN1zzmv72j70ur3UdZ0Ncop98fTGvmoZAFCgbJ3Y0nmoRK3B4CSXcnNSIVbdfxQzhumXd9ijnoDhCEZOD9l2MhzbTtp/5tlA3edW3SaugXVoO2qo1voZp5GJuoOjK3DDIMtxYYXl3k0mRgFAvRTYZfVsMSqkGslWuyg5yhdHI7A6PVpX25sdgsc+6d9kdm+DXGUtp72lQERGMDjJJZiExJ9+mo2/zDxj9/SQ/FIfHDgfjMM5QThxMRBbMrrh9W97qpcZ1mRSjrLFnCOcvhSge/4W381Oj9NqmLize5z3jNX35tcf7q57ba1h04EGA5WTYxzlxa974YWv4/H6t3H45XuJeGhNIk5ctB2aAJBX0rrNJ4iMYHBSp0uKrcDb953A7cqyDgBYvScKT27oi9vThmL6ayOwaNUg3P/uYNz99hA8/kk/lNg4N7MtrENN3WLOUTKsjuEaElPRZGMBKDN6nRKcdp7BqqYmFuHmJP1uSDcOuoKPFh2x+UsN2RHKbj6OtCY9Cst3xjYJa1vOW+08BM6sJQdhcFKnunXYZaTNO4GkGP0klIz8QDzy4QC8uCUeG49ENHlG6Gi6IVKnBae+Z2QrXDKthnTPhurXL7aVdVS25m/WK7wKv77uglpGr/Aq9Im8avOX2pMb18fxQ7Vtcf6KsglCsGOXylDXxOCkTvOrKRfw37eehb+yROC9vVGYv2IIdmaG6erOZD1E2hE9TtjZnu7V7T1x4HwwDvon4NVhP1Ob20RYDT23tAHCmN6l+MvMM7rJS2VVxnv1AVY7KXWmeilQYLWLk/VG/ERtxeCkDpcUW4GX5pzCwvF5unpNncD/bOxtdy2kM1n3OJ0VnMeVGam2JgidKgjAolWD8GDCImSEO+b7oOtx2vmrJUZV4O17j+P1uzIwLE7f+3/lm57YnRWK/FLfZn9VW+3S4+tVr1v/2ZmsZ9ZGcaiWHIDBSR3q4SkXsPK+Y03OVjxxMRCpqwdh3SH7E1CcyXr9pbOGas9c1g839+yENYX29qr95eScJoEJAH/7MgEf7e+Bh98biOmvDW/214bDlo3t0cySm45mvcF+gHkpE1F7MDipQ9w46ArWLDyKB5ReJgBsPhaBhe8O0i1w72jWy1q8nPRTUXLVW3cT76g1hdbPVtXh4ub87csEfLCvh1q2K1eZwdpRf7+WWA/VAnDYphnUdTnpFkGkGdmzDH+bnYnnfpbZeOhzg+o6E/65rSf+tK6vbgF9Zzhz2RIo2YX6AHCkfKthw47q+Ty7OQFbToRjy4lwPLc5QW0GALz+bRwO5QThSG4Q/rGtF6a9MtJQaMK8j601ddehzqJOLOPMWmqvzr1bkcca0KMST00/i+X3nMANiVfUZmw6FoE7lyfhnR8cM3O0vV7dHofDOUE4eCHYIWtD7TmWZ+lVH7/YMT3sgjIfPP6ptrtRUaXt3Y0y8gOx8N3BWLByMFb+EN3sLkj2WB/eDQA3JFo2T7DnrNXwtfWbF0faeCQSueYjxjIv+WPTMf2QMpFRIjk5WSI9FVi2D3gjXW0napVpQwoRF1aNsIBaDImpQIqdnWMyL/lj+c7YLnvzEgJ4avpZ+HhJvLy1J/KVw5YbiOW3QY6MBlLS1CaX9sLtp3HdQEtgPv5JP2zJaLohfoMBPSrxh2nZMAng2c3xTZbsOEqgbx2GxFRgb3bLaz+JbJqYALx8M5CSxuCk9vvl5Bw8OCFXLetIqZ1JWVjug9r6ht16tB176uqF+Zc2SadOCtSbPzYJCS+TNtO1YU9ZL5OEl9BeN7aZX5sE4O0l4W2SqK4VuFLhjaJKHxRVeqG40rvx9ZUKbxSWa88cC8p8dOc2ugJ3Dc6Zwy/jqelnG1+vPdAdz2zqrbuGyC0xOMmRPv/VQfQIdu/1cSVXvdq0XtFZRPdASF8vIMd2z92VRYdom/EDQFWtqcnJMO7uSoUPnvsywe7+uOShGJzkSKsWHsMg5ZgnIk/2XWYYfvvhALVMnswqOF1rfIrc0p839kZWoT9KW9Fjq6wx4UqFN0queqG82gtVtSbU1Ok3WW9OXb1AdZ0JlTUmlF71QlGlNtyaX+qD3GJfnC/yQ1ahPzIv+eN8kR/Kq1v+moiMsreRBHUN7HGSQ42OL8PNSYWY0LfY7iknDfadC8GGQxGNmx6YhIS3l3Y6ifa8UqKuXqDW/Dy0tl606YYV6FuH7kE1iAyuRURgDSKCahEeoP3qFliL8MBahAfUIEDZ+q9TRQUBft7AOf1GEdT5iiq98ddNCU6byEQuikO11BHG9i7BpAEluLZPcbOLzrMK/fHZwUi8vzfK5SbpdBZ3nRxE5LE4VEsdYXdWKF78uhfmLh+KRz4cgI1HItVLAPPWbI9cfwGf/+ogfjv1PHqFu8aOM0REtjA4qUPszAzDkxv6YNo/R+DV7T2ReanpYvdQ/zrcO/YiPn3oMJ685SxG2jh2i4ioszE4qUMVVvhgxa4YzF2ehCc39EW6nQXps0ZcxvJ7TuClOadw24hLiAh07+UuROQ5GJzUaTYeicAv1iTiNx8MxFfHbe8uM3lAMf7rlixs/s1BvDkvA4sn5jY59JqIqCMxOKnT7ToTij981g/zVyThw309UGd1Nqa15IRSPDQpBysXHMdjN51Tm4mIOgSDk1xGRn4AnvsyAbe8NgJLv4u1u48rANyZnN9hp4sQEVljcJLLKSz3xps74jD9teH43ccDsCY9CqeVyUQ5xb4ouepZW7kRkXtgcJJL+/ZUGF74Oh53Lk/CvBVJeHV7T7z9fQweWjNIvZSIqEMwOMltnMwPwIpdMXjlm56N5ysSEXU0BicREZEBDE4iIiIDGJxEREQGMDiJiIgMYHASEREZYDlWjIiIiJrXeB5nnO2NtomIiMhKTqk5OImIiKhV/j8nGCa0YRJv8QAAAABJRU5ErkJggg==</t>
  </si>
  <si>
    <t>data:image/png;base64,iVBORw0KGgoAAAANSUhEUgAAAdEAAAEsCAYAAACcz4lcAAAAAXNSR0IArs4c6QAAAARnQU1BAACxjwv8YQUAAAAJcEhZcwAAEnQAABJ0Ad5mH3gAADTdSURBVHhe7d15fFTV3Qbw58xk3xOSQAJJWELYFwmCsgiiIiBLAcGCrbgAtdr6Vmi1pa3a2tpqXV59q1XEXcANrKBsyqqCYthlD1sSSAgEsu+Z8/5xk8zck8l2M5PMTJ7v5+Mnmd+5YTO5z5xzzyKSk5MliIiIqNlEbYimLFTbiIiISDVpOZBdBNQJ0WV7gVdTlKuJqC2IN6ZBDuoIDF2qNhFRWxgZD7w4QReiJvUaIiIiahqGKBERkUEMUSIiIoMYokRERAYxRImIiAxiiBIRERnEECUiIjKIIUpERGQQQ5SIiMgghigREZFBDFEiIiKDGKJEREQGMUSJiIgMYogSEREZxBAlIiIyiCFKRERkEEOUiIjIIIYoERGRQQxRIiIigxiiREREBjFEiYiIDGKIEhERGcQQJSIiMoghSkREZBBDlIiIyCCGKBERkUEMUSIiIoMYokRERAYxRImIiAxiiBIRERnEECUiIjKIIUpERGQQQ5SIiMgghigREZFBDFEiIiKDGKJEREQGMUSJiIgMYogSEREZxBAlIiIyiCFKRERkEEOUiIjIIIYoERGRQQxRIiIigxiiREREBjFEiYiIDGKIEhERGcQQJSIiMoghSkREZBBDlIiIyCCGKBERkUEMUSIiIoMYokRERAYxRImIiAxiiBIRERnEECUiIjKIIUpERGQQQ5SIiMgghigREZFBIjk5WcLLBHw3X20jhXj6W8iPD6tlIqcQb0yDHNQRGLpUbSJyCjG7H+QjI9UyKcTUDyAv5GufJycnSwBAykKIc3mQG1OVywkAsDCZIUqtiiFKrU3M6gf56Ehg6R61iQDg+jhgQDQwaTmQXQSoPVGxIw1y0Qb1ywiA2L0A+NdOhii1GoYotTYxux+weATk8NfVJgKARSOAuf11PVE+E3Wi0vBuKA+OVctEROQhGKJOkDH8Iey792scnvUxDs1ZgyOzPsKVxAnqZURE5OYYog52avyzuDjoLli8/GtrJeHdcWbc33Cp7+26a4mIyL0xRB3ocu9pyE0Yq5ZrZVz/MKp8gtQyERG5KYaoA+V2GwcItWplMfsiL2G0WiYiIjfFEHWg8oAotaQngYrGriEiIrfBEHUg38IstaRnArwbu4aIiNwGQ9SBwk9/pZZ0zKX5CDu7XS0TEZGbYog6UMTJdYg4uQ7Q9oCqI27nczBVlallIiJyUwxRB+u29THEpvwH3kXZtbWgiweQuOE36HDyC921RETk3hiiThCz7w0MXD4JA9+/FYPfHoten92H0LRv1MuIiMjNMUSdyLs4B+byQrVMREQegiFKRERkEEOUiIjIIIYoERGRQQxRIiIigxiiREREBjFEiYiIDGKIEhERGcQQJSIiMoghSkREZBBDlIiIyCCGKBERkUEMUSIiIoMYokRERAYxRImIiAxiiBIRERnEECUiIjKIIUpERGQQQ5SIiMgghigREZFBDFEiIiKDGKJEREQGMUSJiIgMYogSEREZxBAlIqJ2oco7ABBCLbcIQ5SIiDxa1jX34sc5a7D/nh3YM/97pN76Aoo6DlAvM4QhSkREHuv0TU/h/LUPoCw4VisIE/ISRuPYtLeQFzdSvbzZGKJEROSRLvWZgas9xqvlWukjFqulZmOIEhGRR7qaeCsg1apVWWg88jsPV8vNwhAlIiKPVBbcGWhkHlF5cCe11CwMUSIi8kjexZfVUh3eJVfVUrMwRImIyCOFnd2mlnS8yvIQkv6tWm4WhigREXmkTvvfRlDWfrVcq/N3L0FYqtRys4jk5GQJLxPw3XyIHWmQizao1xAAsXsB8K+dkB8fVpuIWibQB+KGBMiRcUB0IBDmB4T4ApEBWnt+GZBfBpFfBpRUAt9lQH6bBpzLA8oq1V+NyLjb+wK/HwUMXaq2uI+UhbqXlgovpO8cicvHe9XW/MJyEZO8FxE9UnXXNtmk5UB2EaCGqNO58f8Yhig5ghjYCXJoDPDAtfp6cQXwdRpkeh6QWwqRVwZ5z2Cgezjw6FcQob5AqB9kgDcwOh5IjNB//c50yO8ygBWHdHWi5hCz+wGLR0AOf11tch8pCyGGLYO0WHTlKp8glIbGw1xRDL/cs7q2JhsZD7w4QReiHM4lai1LRkO+ObU2QMXxHIinvgYWroW84S3IP24GXk0BPvgRcv1JiIJy7es2n4ZcfRTyrX3Ay7uBn34CMWUl8OA6iNVHAQByRByw6Hpgw8+A/tG2vysRATCXFyLw0hHjAVoPrSeK6i7wsr3aD7GDCZMJcvd89kSpXRE+XsAnsyBjg7XCljPAks1Apf4dcn3EG9MgB3Vs3s/N5CTgsTGASZvXL5Zshtx0Sr2KyC5P7ok6BHuiRM4nFl0P7LgHcue9wL4sYOZHWhA+8mWTA9Swz08Aw17Xfr/5ayD/Pk57g7zp50CQj3o1EbUQQ5TIQcToBCBlIeSknhDvHQSGLoV8fCtwLle9tHXszwKufR1i4nJg4ylg293AypnqVUTUAgxRIkfoGAT5wq0QVRJi6geQr+9Rr2gz8lIR8NxOYH0q0LMDsGQ0RLCvehkRGcAQJWqJ2GBtuPSLucBjWyGHvw5ZXD0hyNX8eQswfBkwIRFy6zyIV25TryCiZmKINlEDexhTe2QSEA8NB9bMAf61U3sGue6kepXrqbIAN7wFDF8GeW0ssOs+YGZf9Spqzxx8aLWnY4g2lUkAvl5qldopsWwq5F2DgIx84MMf1WbXV2UBfvkF4G0G/jCK39uk+eECpAekglNm5tbDA/65Wo/8zXCIFZyY0e5tuxsyqQPEHzYDP/lAbXUfKRcgrn0d4uUfgG/vBbqEqFdQOyJWzIT8eJZadkvC1HrR1nq/kyc4kQOZ1AHYOk9tofbihwVASQUw6k3IL91//aWUEvKtfRAL1gL//SkwIk69hNqDrfO0e9uJHLWFGsEQbY5tZ7VnX0JoC3qnWPdiJA931yBtAlF6PjBxudrq9uS+TIjZnwAvTQR2L1CbyUOJKb2072shtHvbNsfu5tMeMESNWLgWACAfH6O2kKd6aLj28Z7P1BaPIU9f0Ta5NwmIazurzeSBau9h1fc0aj6GqBEncoC5q4DCcg7ttge77gMKyoAZHwJ5pWqrR5Hj3tF2OvrPbXxG6um2ztPuYXNXcRi3BRiiRp3IAca+DQT7crKRJ1t3pzZJ4cZ3gLQ8tdUz7c8CntyhPSM18xbhicSKmUCwr3YPY4C2CH9CWmroUu2B/Niuagu5u3mDgehA996M26jPjgEHLwLfz9c23SbPMbards9qzsEGVC+GqCNkFgCPj+FWap6kbxTEA9cCZ9to31tX8NtN2se/3ai2kJsSsSHA42O0exY5BEPUEaasBIJ9Ifl81HO8Ox3SLIDbP1Jb2o8rJcB/UrRhv/lD1FZyQ3LNT7X/n1NWqk1kEEPUQcTUD4DCcojXpqhN5GbEmjkQ5wuA65apTe3PG3uBm98F7h+qtpCbEStmaveoG99Rm6gFGKIOIi/kQzy3CzI5Rm0iNyNjgyGf3O78sz/dRW71jOTxPdQWciMyqYN2jyooU5uoBRiiDiTXHtc+WZisNpGbEK9NgSirAlIuqE3t231rgKduAh4dpbaQO6i+J9Xeo9xYpW8oiqL6oTTUNSa8MUQdTEz9gCHqrt6foY0kjH1bbaEDWRBVEpjFE1/c0sJk7d7kxir9w3Fm3N9wYN5mHJv+Dg7fsRpHZq5Abte23fSGIepg8kK+toD5ibFqE7m63pFAQRlkRZXaQgAw/UPAIoFHRqot5MqeGAsUlmv3JjdlMfvg5KSXcSVxgrUogZIOSTg1/jlc7X6z7eWtyiTmDoCo7jmJmGC1nYxYewKYnMQlL+6kd6T28b2DagtVkxfygQ2pwPTeahO5KBHsC0xO0u5JbiwzeSGKOyTpizXHnkrg/PBf69ucJTECACDuHAgxpz8AwCR/2h+yZviRIeoYz+0EAMjlM9QWclXvz4B4cx/w5j61hWw9tlU7g9SLg1juoPYeVH1Pcle53capJSsBlAV3RmGnwWqL4/XUQlTeOQByzgAAgAlTV3LnCmfILABi+abEnchXflBLZIfILgL+cZNaJlcUG+wRGytUBFSPFDWgwl8LuFYxaTkwVVtry7eTTiLmrtaejS4eoTaRq1l0PUQ5n4M22a/WAzd2U6vkahaP0NaFzl2ttrgd3/wMtVSHb2GWWmoVDFEnkQVlEHsyIbhu1PVNTITcckatUj3k6StqiVyQSI6B2JPp9HWhlX5hKO7QCxWBUWqTw4SnblBLOgGXjiDg0hG13CoYos70xDZto2dybeH+wOPb1Co1ZnY/tUIuRCZ1AJ5w3vd1aWg8To1/Dgfu+gpHZy7HwTvX48Rtr6AoWptw40idDryL0LRv1DIAwFRVjrhdL6jlVsMQdSJnvwOklhMBPtonVdydqDnEFychfsGtAF2ds+5B5cGxODH51TprNAs6D8PxKUudEqSJG36DmL3L4FOUDQAQlkqEn9mC3v+9G0FZbTchkCHaGnhMmuvicLsxey5Ahvry4G5X5eR7zvmh96MiMFotAwCklw/OX/uAWnaI2JRXMWD5JAx+awyGLLsO3b98BP45bbt8hyHqZGL7OYi52lRocj3ynsEQu8+rZWqEXKNtHyfuvUZtIhcg5g4APndeuDS4uYHUeqTOfEZqrihSS22GIepkcu1xyCEx2jl+5FqiA4GBHSGXH1JbqInkhES1RG1MxIZADolx2gYLlf7hkObqxyANqPBrxSUnbYgh6mzbzgIA5OSeagu1MTGqegPrXelqEzWVj1mtUBurvdfscc4hCl4lV2GuKFbLdfgUXVRLHokh2lq48YLLkXGh2icWqTZRU0j+u7ki0avxjQlaKiJ1vVrSCTu7HV6luWrZIzFEW8tkZd9Hanuj4tQKNYPY2zaL26lhckyCWnK4zt//2/6EHgl4F2Wj8/cvqi0eiyFK7VdCmFqhZpAH28dwHdVlLi9Ar7W/QNTRVbVDu6KqHBGp69B7zXz45aWpX+KxGKLUfplqjoEgQ0or1Qq1I+byAsR//Q8MfusGDHrvFgx5YwS6bX0MPgXOeRbrqhiiRGRMbqlaoXbKq+SqWmo3GKJEZEyeFqK1uz4RtUMMUSJqGTOHxck5yoI7I23U73H4jtU4eOc6pN76AnITblAva1MMUSIyRAR4a58UVahNRC1WEDMER2euwKW+t6M0NB4VgdHISxiNU7c+j8zkherlbYYhSkSGyAh/7aOFm/eT46WNXoIqn0C1DAC4kLwQ+Z2HqeU2wRCldktUcbOAFqkOUSJHy00Yg9KwhjfRv5I0WS21CYYotV/n89UKNYMY1EktETlEaVjjG0aUhHdXS22CIdpKxN5MtURtTKblqSVqDh6D5ppO5KgVt2Mub/yUFnNZgVpqEwzRViJT2tcCZHcgvq3eeN7XS22iJpChvmqJXEH1oRfuLOTCD2qpjpCMXWqpTTBEnehSnxk48fN3cGjFXBzL/Q2yBt+tXkJt6Zvqrcmu76K2UFOVV6kVamPi85PaJ8mxapPb8M1LQ8cD76rlWgE5x9GpgfbWxBB1ktM3PYW00UtQ4N8P5YVBKArrg/PDfoXjU5fB4uWnXk5tQGYWaCGQ1EFtoqbikLjLkReqn/Unx6hNbqXL9y+h07431TJC075Fjw0Pq+U2wxB1gqxr7sHVHuPVMgCgsNNgpI/8nVqmtrLiEMTdg9UqNULEV2/e/95BtYlcwecnPOLkqM4/vIJB741H9y8fQbetj6HPqrlI3PA/8CnKVi9tMwxRJ7jce7pa0rncaxqqfILUMrWFpXsgebB08913DcSFAuALO8dhUdt7YpvHnGHsVXIF4We2IOLkOgTYO36tjTFEHazKOwBlwY0/iygNjVdL1Baqn+kJE38UmkPe1hPy1RS1TC5GBHPyl7PxzuFg5soSQDa+g4u5okQtUVsa2vgbH9IT31TPbibXNbbhDQuo5RiijiYlQtO+Vas6frln4Zd7Ri1TGxFv7oN89ha1TPWpHiaU+TwKzaWt/BFy0XXsjToZQ9QJYva/pZZ0Yva+rpaoDclXfgBqNlOnxr0xFWLTKbVKrua5nUCwL+TyGWoLOZAJa+YAKa6zI74nCLx4EIkTN8A3UH9QrVdZPhK2P4mI1I26OrkAKYH7h6pVsicqEPKxrWqVXFFmgcdMMHIp6+4E1swB2BN1DhEbgtC4NAy4uAg91/0KCTv+hh4bF2Hge+MRefwz9XJyAWJHGjB3AA+YboSIC9U+qWz8uT+5gLXabFYRyy0ancWEqSuBoUsBAHIvt6ZzBLl8OvD5CcgVhxCS8R0ij/0XYed2QFgq1UvJRcjFG4EAb8gvtHeXZEenIMhVsyFWHFJbyFUt3aPdi5Y3vOyOmmh9qvZx0nJg6kqAPVHHE7EhQLCvtk6L3MsP54FgXwhvrhu1R3w2BzAJyOddY89SaqIntmnf1+yNOgVD1NEeHwMUlqtVt3S1+y1Iv34R0kf+Djk9b1ObPc+yfQAAedcgtYUASLPgGazuqrAcctF1apUcgCHqYDI5BmKK1s13V+VBnXB82hs4ffM/kD1gLrL73YGzN/4FR2Z9hOLIXurlnmPPBeC2FcAvOcFIJdbMgcgugryh4Znn5JrElJVcM+okDFEHEbEhwNZ5EHszIQvK1Ga3cuamv6Ow4yBA6Osl4d1x5qZ/QAoPHu68WAhxLg/46i4ue6kRGwwZGww5aTlQxuf67kgWlGnnjG6dx3WjDsYQdRC55qfamqyFa9Umt3K1+01agAKAnZG70tB4XOo3Sy17FDnzQyDMD9hxj9rU/iy6XpvK/+/dagu5m7mrtHvU1nlqC7UAQ9QRqo/SEnsz1Ra3U9RxoFrSE0BhY9d4gswC7WP3cLWlfZk7QPv47gG1hdxQ7T2Kx/85DEPUEVbMBH67ye17oQAgG/uWkABEI9d4gikrIf7+NfCRZ/e6GyLenQ5YJMQ9nwEWO8MS5HbkwrXAbzdp9yxyiHZwN3SylIXas4ZtZ9UWtxR4+ahaqiPw0hG15JHkp0eBM1eBXfepTR5PTOkF2TcKGPY65KGLajO5s21ntXsWd6pzCIZoS1TPdhO/+FxtcVsRJ9fBP+ekWq7lXZKDyKOr1bLn+vV6wNsM9IpUWzya/PMNEKf021aS56i9Z7nIjN28uBE4P+xBZFy/CDlJk9Vml8YQNWrrPODZ8cDcVW4/G1fVbdtj8Mut27P2Lr6Mbpv/CHN5odrkubIKgflrgOUzgPV3qq0eRyRFAt/cCxSVQ97xsdpMHkIWlGkTjZ4dr93L2ojF2x+pt76A1IkvIWvwPbg4YC7OjnkCP97xKQo7DVYvd0kMUSO2ztN2APnLdm1YxMP455xEv49nIf7bZxCRugHhpzahy3cvot+HMxF8oR0exLw/C3jhOyAqEPj0DrXVcyR1gFwxA8LHDNz4jtpKnuZEjnYPC/ZtsyA9c+OTyEsYrS8KoCw0DqdveRqVftV7NbswhmgziLFdtecIQgBDl0KuPa5e4jmkRNThj9Bty5/QffMSdDz4HswVRepV7cfyg9oe01209cAeZ0xXbbLJ4k2Qw3hUX3sh1x7Xvq+FAFIWave4VlIYMwS53caq5VoV/h2Q3c/137QyRJtB1kwL94BZuGTQH7do79yv66K2uLdnb4EorgC21x3Gp3ag+p5We49rBYXRA4BGDgNyhyFdhmhznMiBuPEdjxzCpSbadAqY91/g35O0UYkg9z46TSyfqf09sgq5pV97Vn1vE9nFaovzmMx1dkWrw+SlVlwOQ7SpLBLi02MeN4mIDDicDTHiTeC/x4BtdwMz+6pXuD6TAH5YANkzAuK1PYCb7/dMLScLyoC390E00jt0lIDLx9RSHQHZh9WSy2GINlFjb5iofZHllcDfdkDM+hj4wyitN+cOp7/4eUHsXgDsXgBxKFtbB/r6HvUqas9k62ysEZK+E0FZ2slJ9ghZhahjrr+cjiFK1ALyzFWIzWe0Fw8NhxjQUb3EpYjVd0CatLeEcv4atZmoVXXd9hcE5FRP0BTW3oqpqhzdNi+Bb1667npXxBAlaiH56JfaDMeleyDfmgZsmQf8woWOU+sUBDxa3Vv284IYtkz783IrP2pjvvkZ6LPqTsR/80+Ep25C2JntiN2zFP0+mI7w05vVy10SQ5TIUZbu0cJpfxYw/xptycBjYyDi2matm+gbDfywAPh8LjC9N8T0DyHHvQNpaaWHXkRNFHXkE3TfvAQ9Ni1GzJ6l8Clyn60mGaJEjrZoI8QdqyAsEnJqL8jVsyFm91OvchoRGwKsmAn57k+09X8fHQamroRMz1MvJaIWEsnJydqYTspCYNle4FXH70gjTCbI3fO1d+luSuxeAPxrJ+THrj9bjFxIiC/ErYmQj47UXluktkTq9b2NrskUb0yDHNSx0Z8bEREA3J8MOSQG6BqmFXemAxtSgXX174NMVMftfYHfj2r0e86lpSwE7v/c7nnILdY/Gvj1MGDSciBb23yGIdpEDFFyiNuSgAHR2s3KhiiuAL5O03qLuaUQeWWQ9wzWzjN99CuIUF8g1A8ywBsYHQ8kRui+Hscua2dFvrUf8mqJvo2oicTsfsDiEZDD3XjXqlY4nUZM/QDyQr72uS5Enc2NQxQpC4F/fgN80j6OAaNWFOgDcUMC5Mg4oGMgEOoHEeoH2cFfa88vA/LLIPLLgJJKyO8zIHZlQJ6+CpRVqr8akWEeEaLOtGgEMLd//SEqzuVBbkxVvsqBlrrxerSUhRBPf8ueKLWapg7nEjkKQ7QR9Yaolwn4bj7EjjTIRRvULyMO51IbYIhSa2OINsJOiHJ2LhERkUEMUSIiIoMYokRERAYxRImIiAxiiBIRERnEECUiIjKIIUpERGQQQ5SIiMgghigREZFBDFEiIiKDGKJEREQGMUSJiIgMYogSEREZxBAlIiIyiCFKRERkEEOUiIjIIIYoERGRQQxRIiIigxiiREREBjFEiYiIDGKIEhERGcQQJSIiMogh2squdr8ZJ257BfvnbcHBn63HmRv/ipIOSeplRETkBhiirejC0Ptx+uZ/oqDzMFT5hqAiIApXkibhyIz3kRc/Sr2ciIhcHEO0leR3HobMIfPVMiABCBPSRv1ebSEiIhfHEG0lV3pOUks65UGdcLXHeLVMREQujCHaSkrDEtRSHaWhcWqJiIhcGEO0lXiV5aulOrzKCtQSERG5MIZoKwlJ+1Yt1RGc8b1aIiIiF8YQbSXRhz9CUNY+QKgtmk4H3oFf3jm1TERELowh2ooSNyxCeOomXU1IC2L3LEXn7/9PVyciItfHEG1F5vICdN+8BP0/nI4em36LxPUPYdDbNyJmz1L1UiIicgMM0Tbgm5eOsLPbEJq+E+aKIrWZiIjcBEOUiIjIIIYoERGRQQxRIiIigxiiREREBjFEiYiIDGKIUrvXu2MxEqNK1DIZdEdyNt7++TG8O+8YfjLostpM5FEYouQW7h99AR/ddxgr7jmKu4Znqc2GJMcX4L15R/H+3Ufxwb1H8O/ZJxHiV6le5tJ+MugyfjXmPLp2KFWb2sTsIZfwu5vT0T+2CH07FeFPE85hTM9c9TIij8EQJZc3tmcu5o/IRPfIUiRFF+Ohsefx0NgM9bJmmTc8C6/NOYE+nYpra9d1y8ed12brrlM9cMMF/HPaabzxs+N4YWYqHrzhPG7ufRWdQsrVS53u4XEZ+NOEc7j7uiysuOcoBnUuVC9pVKBPFf46+Qz+OvkMfL0sanOz+HhJ/HL0ebWMuUMb/jclcmciOTlZwssEfDcfYkca5KIN6jUEQOxeAPxrJ+THh9UmcrJF49Ix1064PbUxAav3R6rlRi2+KR1z6rmx70kLxi9WJqllAMDLd5zE8K71n8ZztdgLEgJSAlUWoMoiIAFIKWCRgEVqbRYJSAjkFnthRUo0tp8MU38pAIB4YxrkoI7A0Lo7WkUFVWD9gwd1ta9TQ/HwqkRdrTHPTD+NcUlXAQCbjkZgyZpu6iVNdue1F/HwOPtvbqa91h/nc33VMrkYMbsfsHgE5PDX1SYCgEUjgLn9IaZ+AHlBuxewJ0oub3AX+z2sB244j6igCrXcoAUjM+sE6NVir9rPe9v0TG3NGnKpwQAFgPCASkQEVKBDYAWigysQE1qO2NBydA4rQ1x4GRIiStG1Qym6R5aiR2QJkuML8NyMU1h0k/3gaciNSXWHSEcn5uH6bg3/GVX9Y6w7Zt3U6yrMJqlrb47kePv/nwBgSFz9bUTuTOuJAkDKQohzeZAbU9VrCAAWJkM8/S17om3gs1/8iM5hZQCA87m+tZ8DwIYjEfjT2qb1nmYPuYRHbknT1XakhsLPW2JYgjV8hj0zBBapP27ntTknkBxvPe/VIgFTPSfyGPG/W7vg/d0ddbWGeqJ/nngO0wbWnbSz5lAk/rqu8QPga3z56wMID7A+B/7t6h7YVk/PuDFb/2c/gv2qAADZBT6IDrYOcb+1qxNe3tHZ5mpyRWJWP8hHRwJL96hNBADXxwEDooFJy4Fs7Q2objiXGsYQbRtr7z+EmFDthpx+1Rdx4dYQBYC/rkvAmkMND+v27VSEt+86pgu+muHPV+ecwFCbgLz2mWRIpUO28p4j6BmtzeAtKjdjzAuDER9Rhr6ditC7YzGSoosRFlAJkwBMQsIkAKH7XEIAMJu0z00C6BBo7UXvzwjC/OW9bH7HhkN0+d1H0atj3V5zQakZN744WC3Xa/vD+xHoowUfAJzM9sect/rqrmmKa+IK8frc47WvNx0Nx/g+2jAxAHzxYwc8/kXX2tfkmsTsfpCPjFTLpLAdztX1RLFsL/BqinI5Udv64oFD6Fjdqzl3xQ+bj4fh3uutM3Rzirxx93u9kZnnY/NVekvnnsCQOGtQHroQiAc/TEJxuQnL7jxeO2RcUSVw/bNDbL5S8/zMVNyQmFf7euLLA3Gp0Ft3TXME+Fjw9s+PoXukFswVVQIjnhuiC++GQnTTrw4gIlDrQaZe8tct0fnDZ93x5bFwm6vrt+u3e+Ft1r9jWH84An/+vGm9+xp3X5eFX42xTip6fkscFo1Lr32dkhaM++t51kzkNkbGAy9O0PVE+UyUXJ5JWG/yVRbglR2dcehCYG2tQ2AFfnezfpjW1uwh2boALas04e8bElBcrn37+3hZf/3yKvs/Eln5+kkxceEtW1JSXG7CkayA2tfeZoluHZq+VjXQ1zqTtqRC/2ce1cMa9g0xCVknQAFgYr8reOK2s2q5QQOVmcH7M4J0bzJq3gQReRr7dwwiF2K2+S6teVb5n6/1z9duSMzDwpEXdLUak/vn6F7/79YuSL3kX/va22QNpPJK+w86Lyi93M5hLQ+FwjKz7nWQTTA2xGySuuUoJeUmXZCOTqw76cgeX5s3D6rJ/XPw2KRzatmuuPAyXS89M88HRzIDkJVv/TeLrR6OJ/I0DFFyebY90ZoQ3X02GP/erg/ShaMy6/TCRvXIQ98Y67PDI1mB+HhvlO4a295YRT09UXWo2N7zyObyUXqBpUqPsj6BPvqwLas0YUeqdTJQiF8Vbu5tfR5ZH2+z/tdRl9pMHXAZf5zQeJBO7Kt/k7L5uDaUbDvr2WySCPK1Pnsl8hRN+6klakPqcG6Nt7/rhK+UZ38Pj8vQLXuxHcYFgM8PddC9hhKi5VX2e6L7MoJ1rx2xZMNH2dygtLJpP47qdd5miW9OhepqNWs/G6b/u5qExKcH9BO0pg+6jMcmNjy0e3Nvfc9307EIAECl8m/p1YLlM0Suqmk/tURtyN5wbo1nvorXDbUmRJTi8UnWm74adl8rYQMlzOobzr1S5IX9GUG1r5Oii+vMEm6uUGWLwVybnltDyisFqizWP6ePl8T6wxHIK7F+/fg+V2snHtUnv9Ss+3WC/arw9w11ZzpPHZiDv9TzjHRk97zayVGonkB0JFN71qv+v/Ky8/yVyN0xRMnl6YdzdU24UuSFF7bE6WrXdcvHnyacQ2RQBfrHWjcTOJoVUGdYFsqwaqWl/h+JfenWEAWgW1tqhO36zPIqE/JL9c9IG1JmE/Y+1cOyX1UPo9aY0Ec/zGpPXon196xZ4/nXdQn47KA+SG/rn4O/TTmjqwHALTbLWABgi82foU6IsidKHqj+OwaRi2ioJwoAW0+E4aVt+uejPxl0GTMGXdLV1BBsrpQ0/ZBufTspNVWFzXCnl83kpqYosxnSrelJq0Pb43o1PsEov9Tae40IsA6DP7k+Aav3658dT+h7BX+eaH1GGuhThVv7XKl9XVZpwlqb4fJK5a/EECVPxBAll2e27YnWkzXvft8JH+6J1tUWjsrUvd6brg/BGlU2wWzb61V9fzZEtwSmZvMFo64UW5eAmAR0O/w0xvbPUTPL9odzwTh+0bpsZnCXQt0uS/bYzlIOD6jENTbD309tjMcn+/RBOm3g5dpTdK7vnq97nrzxaISy3Eb/hqf+f1ki98UQJZcn7MzOtedfX8Vhy3H7W9aVVJiwI7Xu81Aok5UaClEAOH7RGjqJUSUIUGbKNoft7FU0c9lMWUXd4VzYzIytMWVAw0O6B87re+e2OzcBwD83xeOjvfo3Jw+NPY9rEwowRllK8+VR/e+tzv4tb+LEKSJ3wu9qcmk12+bVsA08e55Y1w1HbTYxqLH1RFi9AWw7i9R26Niek9n6X7ufzQbuzXXuip/u9TXNGB7287aGve2w8Cf7onS91Mn9c2q3TLTnh3P63rm949Se+TIOXytvQB4el4GBna1/9+JyE3adCdFdow7f2j7HJfIUjdwyiFyMaPhGXFxuwpPrE5BrM1MVAD7Zp+9N2bINV/XGrzp1WR98PaOMrxfdk6bvBQ6IrRtg9Qm3eX55tcQ6LJxfasaag/plPNOVZ8O2Ui/568L8um75iLRzMs6zm+N0w89J0cW6gwDUJUBQdoJCI5O2iNwVv6vJpWnbtls1NtwKACeyA3Dv+72xan8UVu2PwvzlvXDwvHWbQFVzhnNPKD1R2z1rm+tEtn62cGPPL2tEBFbqnkXaLm0BUCdEJ/e3Tv6xZ+dpfQ9SHaZF9ek5z2/uopZr7VXeEEBZfwsApTZD0ESegiFKLq3mEOvmSrvii39sjMc/Nsbr1nfaU2mzVrKx8zQPZATq1lb2qef80aay/bMF+FgaPbMUyixa2Hm2eiQrUDf8Gh1cjhmD6x6bVuPb0/qh2hHd7f8ZNhyJwPIf9Me11fj0gH4CEpTtFKssot7hdCJ3xhAllydtbr7OuA2XVlrXStqu3bTHIgUOZ1p7tT2jSxBSvb7SCDXg1c0h7OliM4yK6rWyqs9/1PdGb1P2D7b13ZkQZBdYe8SjeuTB39v+w+cXtnTB7rP6odvlP3S0u8a1KTtBEbk7hii5lcaGW43IuGoNEG+zRNcODZ/QcsxmGQnsnGDSHHuUZTdNOR0mPkJ/TfpV/QkzqJ6leyLbOpN4UOfCenuYAPCtzZCu2SRxY1LdId0av/u0B746Fo6MXF98vDcKL2yxP8yrC1HOzCUPxe9scnm26zgbmVdkyPlcfQglKCGlsl3mAkC3wX1zqTN0o4PrTupRdVGWwqi/Rg11n+AJykbxtnYpz0Wv71b/cWpF5Wb8/rPu+Mlr/fH0l/Fqcy3bJS62Q+bN1TO6BG/87DjWPXAQD409j/iIlm23SORIDFFyK04J0Tx9iKrDpSrb4VwA6BVtPESl1J8Q05RzN7uE6UP+TI4+1Gus2h9Ve2YqAEzqd0W3Ob+tLSfCUVRuHZIdm5Tb4l6/7ezclixvmXXNJQzqXIjo4ArcNTwLqxf8iNfnHsd9IzIdcpoOUUswRMnl2e5S1NIbuz3qcGhjmx6kXvJHTpF1uYft/rxGFJRZn2n6N2Hzhm6R1hDNzPOx+zwS1dvwrTus741OHVj/BKNtJ6wbVfh7W3Br36acBFM//ek7xkO0sKzubeqauEL8cvQFLL/7KJ6feQoju9ffcyZyprrfnUQuxnZ2rvFbcf3OKGs/bdc/1se2N9ohsKJFS12EzYZ4spH3CJFBFbre5Nl6hnJrqCFqu9etSj3hZnSP+p+LtqaXtnXBpqPa8Wr23JCYixdnpeLlO05iTE/X+DNT+8EQJZdnu1bUGcO5V4q9dTNcGxvOhZ3JRQNa0Bu1/Tup62JVPWyOHQOA+PAyrFpwuN7/Hp90VnfYd/fI0nrPGv3qWLhuzenYJNfp3S1Z0w13vt0H7+3uiJM2E6ZsDe+aj+dmnMILM1ObtFSIyBEYouTybIdzbXttjpSea+3RJUSU1tltR/XjBX2ItmS9qO22ho31RLspM4c7h5UhIaK0wf/8lOUqE/rZD1EA2J5qHdL1MVt0G9K3teMXA/Di1i6Y81Zf3Pl2HyzbGWN3ec/oxDy8fMdJvDAzFTMGX2rREiSixjBEyeXZ5oozeqKw81y0seHZ/co2d306Ge+J2v4NG9tYQl3eYsS4pKtIqucEmlOX9MPDXR3w+znD8YsBePXrWEx8ZSD+b1tnu+fEjk7Mw5Jb07Dlf/bjX9NPYXIDa2WJjGKIksuz3WzBttfmSGqINrbMpbjcpHsu2qdTMYJ8jfV49D3Rhv+CXTvoh5p3nw1GZp5Po/9dsZkIBQC3X2N/P111uUxj/w5trcoi8M73nTDl1QF4ZUes3Z4pANyYlIsnbjuL5Xcfxawh9v/uREYwRMnl2a4xVI/XcpT0q/rwiFOWkdijnhZj9JBu/TPR+kUFVWBYgvVZ39GsADzwYRKmvDqg0f/ufb+X7teaMfiS3fWWp5VJVnHhda9xVW/uisG01wbgzV0xdnumANCrYzEevSUNqxf8iJ8Nu6g2EzUbQ5Rcnu1ykg6BDW/LZ9TZnOaHhxqiRo9Fs33OW9+h4wBwc2/9s0z1LNCGZOT6YtV+/f62s67J1r0GgAt5vrolM43t3uRqSipMeGVHLKa8OgAPfZyIT/ZFIbtA3wsHgPiIMvzmxgysf/AgZg/JdsrSKWofGKLk8rLyrTfBUP9Kp9zYT17y1z2PbEqIHrqgD7HeBhf+m2x+ChvapF1dcrL9pP0DyOvz8V59iM685jJC/Oq+KbE9qSYhohTRTdgAwhXtPB2Kf26Kx6RXBuJvGxLqbJKB6t79I7ekY+0vf8Sd17JnSs3HECWXp07ieXLymXonxhil7RxkfS4aEWh/Zx9bpy/76Xo5Rrf/qz82reLCyzCsq/WotNOX/eocqN2Y1Ev+WHfYut7Sx2zBT5Pr9kaPKT3sSf3qX1vakOM2y4DUI+Ra238PRGLeu73xxzXdkJJW99+tY3A5Hh6XgY/uO4wZg/nMlJqOIUou79tT+n1d+3Qqxi9Hn9fVHOFwpvVGf+qS/bWIqmMX9ZsuDOzc/CFdYTOUWN/s3Jt66Ydyvz7VvF5oDfXIMnWIGNVHqdn61ZjzGGtgE4NnvozH9pNh2H4yDE9vilOb28TGoxG4f2USFq/uoTsurkb3yFIsuTUN7847hokG3zxQ+8IQJZd36rI/VivP85zh2c3x2Hqi+qbfwMbqttTDvu8ffUH3uima0hNVT4rZarNFX3PsSw/S9cRsj4GrseloeJ2AmZ3c/N7ZpUJvLF7dA4tX98CV4rrPJdvS9pNheHhVIh5elYjd5/Rv0gCgb6ciPDn5DD667zDmDc9CgI+xmdfk+Rii5Bae2hiPv6zriiOZAfjxQiBe+yZWvaTFrhR54Xefajf9rHz7sztVb3/XSbdxuxG2ux/ZDoHW52iW9m9g1EtbO+NwZiDOXfHDa1/HqM0AgKc2JiBDOd3GE32dGooHPuiJJWu64ZCdf9PukaX49djz2PDgQTw8LqPRQ9up/THHxsY+AQBYmAzszQRSmv9Omqg1nMgOwKcHovDfg5G4rKx7bEtHswLQJbwcV4q98fzmLrhU2LQArrEvIxixoWU4k+OHp79KQEn1Nn1iWm+gUxCwdA/O5PijZ3QJcoq98c+N8c3+PWxdKvTBfw9E4qO90XWW9tQoLjdjT3owekaXGP57uZNTl/3x2cFIZBf6IDa0HBHKLHBvs8TAzkWY2O8KisrNbf6Ml9pIfCgwMRFYfggo0uZNiOTkZO2tVcpCYNle4NUU5auIqC2IN6ZBDuoIDF2qNpGTTRmQg8n9c5Acb53MZWvL8TA8/kW32jc81E6MjAdenABMWg5ka/Mf+B1ARLWE0M4BDfCpQohfJSKDKhATWo6Y0HJEB5cjMqgCEYGVCPGrRJBvFQJ8LPD1ssDbLD1qreXaQx3wi5VJeOCDnthwpO4JMuN65eLD+w4bXtZEnoM9USIXZdsT9TZLhPlXIjygEqH+WoiF+FUhuPZjFYJ9K+HvbYGXWcIsJLzMgJdJwmyS8DJJeJmrP9p8bjZJeNvUW/rMzyK1rQurpIDFgtqPFilQZdFOqamyaNv1NbQm1lWpx+RtPRGG333aQ1cjD2anJ8oQJbdkqg4Js9B6QGaTVqv53Ku6ZySl9cYtq2/kEAKVVQBq6upH2fCmB00V4GOBn1cVAn0t8Pe2wN+7Cn7e2uc1H329tM/9vC3w87IgwMeCEL9KBPtVIaRXMEK8yhCScxXBPInEJZ3N8cPty/qpZfJUDFFyNpOQ1UN/FYgOKkfHkHJ0DK5AVJBWM5m0be7MJi3stM8Bs0kfhmoomoWEqfpjS3tLTWWRWo9JoqY3pQ/kmtdSojaEvUyyOiCrnLZZPrmOd7/viJe2dVHL5KkYouQM3SNL8IfxaegSXoaooMZ3+qHWUWXRhlUrqgQqqwQqLdX/VX9eVfPaplZZpfXCK2yuqarulQtImIT1TY4Q2mvtDZD1DZFJSAibuvZmSP/mqKbdHd5neJklQv0q65zLeibHD7PYC21fGKLkDM/PTMUNiXlqmVqoyOSLPP8g5J0qQUGpGQVlXsgvNaOwzIyCUi8UlJmRV2JGfqkX8ku9cLXYC/kl5toAdMSQdHs3uX8OHh6XgVB//ZKXtCu++P1n3bnUpb1hiJIzvDgrFSO7Nx6i5VUmVFRV925sJpvUTDKxVD+LrGmznYxib5KKek1lVfW1Nr+OqN7gvaYXJap7TFpPyPp5bY+ppqdUPVO1ptdUU9P/WjU9LADVvbAqi0BJhQmlFSaUVppQVln9eYUJZZWitm6tmWqvL6kwoajcjLwSL1wp8kLF0ulc4tJGukeWYu7Qi/jJoMtqEzYejcDTm+J1p91QO8EQJWfoH1uER29JQ4CPBZcLvXGl2As5Rd7IKfLGxXwfZOZrB0M3dRcg0nCdaOuKCKzE4M4FGJpQiNlD6m7MDwD/u7UL3t/dUS1Te8EQJXIfDFHnGt41H706FiMxqgRJ0SVIjKr/ZKCjWQF4fksc9qU3/QxX8kB2QpSbLRBRuzJ7SDY+vO8IXr7jJB4aex6T+l1pMEA/2BONn7/ThwFKdjFEicjj9e1UhF+PPY/VC37EI7eko0dk/aFZ49MDkbh9WT88+5VrHONGrokhSkQe6Zq4QiwceQFv//wY3p13DPOGZyE+Qr/jUI2KKoH9GUFYmRKNxz7vhvH/NxB/35CAszn2N+gnqsFnokQuis9EmycpugSDuxSif2wRhsbnIzq44TXLB88HYf2RCBzLCrB7DBpRHXwmSkSeIiKwErOGXMIz009j/YMHseKeI3jkljRM6pfTYIDuPheCJWu64973e+HjvVEMUGoRhigRuZ27hmdhw4MH8OgtaRiXdLXRnbIOZwbilR2xmLG0Hx74oCc2HQ1XLyEyhCFKRG4jwMeCF2am4qGx5xvcm7i0woTtJ8Pw/JY4zH6jL+a92xtv7opBWj2HkBMZxRAlIrfx7PRUjLazxeSVIi9sPxmGV3bE4oEPkzDq+WuweHUPrPghGqcv+6uXEzkMQ5SI3ELfmGIM61qgq+1IDcWDH/bE+H8PwuLVPfDmrhjsPhusu4bImRiiROQWjmQG6JacLP02FotWJeL7syG664haE0OUiNzGrDf64fEvumLhiiQs/SZGbSZqdQxRInIbUgJf/NgBe9M5ZEuugSFKRERkEEOUiIjIIIYoERGRQQxRIiIigxiiREREBulPcSEiIqKG2ZziYg3RWE4ZJyIialRWIWDRotMaokRERNQsfCZKRERk0P8DapFSa7U/Vq8AAAAASUVORK5CYII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</si>
</sst>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B7"/>
  <sheetViews>
    <sheetView topLeftCell="AF1" workbookViewId="0">
      <selection activeCell="AT2" sqref="AT2"/>
    </sheetView>
  </sheetViews>
  <sheetFormatPr defaultRowHeight="14.4" x14ac:dyDescent="0.3"/>
  <cols>
    <col min="54" max="54" width="10.33203125" bestFit="1" customWidth="1"/>
  </cols>
  <sheetData>
    <row r="1" spans="1:54" s="4" customFormat="1" x14ac:dyDescent="0.3">
      <c r="A1" s="4" t="s">
        <v>0</v>
      </c>
      <c r="B1" s="4" t="s">
        <v>1</v>
      </c>
      <c r="C1" s="4" t="s">
        <v>2</v>
      </c>
      <c r="D1" s="4" t="s">
        <v>105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96</v>
      </c>
      <c r="M1" s="4" t="s">
        <v>108</v>
      </c>
      <c r="N1" s="4" t="s">
        <v>109</v>
      </c>
      <c r="O1" s="4" t="s">
        <v>123</v>
      </c>
      <c r="P1" s="4" t="s">
        <v>97</v>
      </c>
      <c r="Q1" s="4" t="s">
        <v>124</v>
      </c>
      <c r="R1" s="4" t="s">
        <v>110</v>
      </c>
      <c r="S1" s="4" t="s">
        <v>11</v>
      </c>
      <c r="T1" s="4" t="s">
        <v>10</v>
      </c>
      <c r="U1" s="4" t="s">
        <v>98</v>
      </c>
      <c r="V1" s="4" t="s">
        <v>99</v>
      </c>
      <c r="W1" s="5" t="s">
        <v>100</v>
      </c>
      <c r="X1" s="5" t="s">
        <v>101</v>
      </c>
      <c r="Y1" s="5" t="s">
        <v>102</v>
      </c>
      <c r="Z1" s="5" t="s">
        <v>103</v>
      </c>
      <c r="AA1" s="6" t="s">
        <v>23</v>
      </c>
      <c r="AB1" s="6" t="s">
        <v>104</v>
      </c>
      <c r="AC1" s="5" t="s">
        <v>24</v>
      </c>
      <c r="AD1" s="5" t="s">
        <v>113</v>
      </c>
      <c r="AE1" s="5" t="s">
        <v>114</v>
      </c>
      <c r="AF1" s="4" t="s">
        <v>25</v>
      </c>
      <c r="AG1" s="4" t="s">
        <v>26</v>
      </c>
      <c r="AH1" s="5" t="s">
        <v>27</v>
      </c>
      <c r="AI1" s="4" t="s">
        <v>115</v>
      </c>
      <c r="AJ1" s="4" t="s">
        <v>116</v>
      </c>
      <c r="AK1" s="4" t="s">
        <v>117</v>
      </c>
      <c r="AL1" s="4" t="s">
        <v>118</v>
      </c>
      <c r="AM1" s="4" t="s">
        <v>119</v>
      </c>
      <c r="AN1" s="4" t="s">
        <v>120</v>
      </c>
      <c r="AO1" s="4" t="s">
        <v>121</v>
      </c>
      <c r="AP1" s="4" t="s">
        <v>122</v>
      </c>
      <c r="AQ1" s="4" t="s">
        <v>28</v>
      </c>
      <c r="AR1" s="4" t="s">
        <v>29</v>
      </c>
      <c r="AS1" s="4" t="s">
        <v>30</v>
      </c>
      <c r="AT1" s="4" t="s">
        <v>31</v>
      </c>
      <c r="AU1" s="4" t="s">
        <v>40</v>
      </c>
      <c r="AV1" s="4" t="s">
        <v>41</v>
      </c>
      <c r="AW1" s="4" t="s">
        <v>42</v>
      </c>
      <c r="AX1" s="4" t="s">
        <v>43</v>
      </c>
      <c r="AY1" s="4" t="s">
        <v>68</v>
      </c>
      <c r="AZ1" s="4" t="s">
        <v>79</v>
      </c>
      <c r="BA1" s="4" t="s">
        <v>78</v>
      </c>
      <c r="BB1" s="4" t="s">
        <v>141</v>
      </c>
    </row>
    <row r="2" spans="1:54" x14ac:dyDescent="0.3">
      <c r="A2" s="1">
        <f>B2+C2</f>
        <v>4</v>
      </c>
      <c r="B2" s="1">
        <f>SUM(Sheet2!K:K)</f>
        <v>0</v>
      </c>
      <c r="C2" s="1">
        <f>SUM(Sheet2!L:L)</f>
        <v>4</v>
      </c>
      <c r="D2" s="1">
        <f>SUM(Sheet2!O:O)</f>
        <v>4</v>
      </c>
      <c r="E2" s="1">
        <f>F2+G2+H2</f>
        <v>11</v>
      </c>
      <c r="F2" s="1">
        <f>SUM(Sheet2!E:E) + SUM(Sheet2!H:H)</f>
        <v>6</v>
      </c>
      <c r="G2" s="1">
        <f>SUM(Sheet2!F:F) + SUM(Sheet2!I:I)</f>
        <v>5</v>
      </c>
      <c r="H2" s="1">
        <f>SUM(Sheet2!G:G) + SUM(Sheet2!J:J)</f>
        <v>0</v>
      </c>
      <c r="I2" s="1">
        <f>SUM(Sheet2!E:E) + SUM(Sheet2!F:F) + SUM(Sheet2!G:G)</f>
        <v>8</v>
      </c>
      <c r="J2" s="1">
        <f>SUM(Sheet2!H:H) + SUM(Sheet2!I:I) + SUM(Sheet2!J:J)</f>
        <v>3</v>
      </c>
      <c r="K2" s="1">
        <v>4</v>
      </c>
      <c r="L2" s="1">
        <v>1</v>
      </c>
      <c r="M2" s="1">
        <v>2</v>
      </c>
      <c r="N2" s="1">
        <v>1</v>
      </c>
      <c r="O2" s="1">
        <v>5</v>
      </c>
      <c r="P2" s="1">
        <v>0</v>
      </c>
      <c r="Q2" s="1">
        <v>4</v>
      </c>
      <c r="R2" s="1">
        <v>0</v>
      </c>
      <c r="S2" s="1">
        <f>SUM(Sheet2!AL:AL)</f>
        <v>12</v>
      </c>
      <c r="T2" s="1">
        <f>SUM(Sheet2!AM:AM)</f>
        <v>19</v>
      </c>
      <c r="U2" s="1">
        <f>SUM(Sheet2!T:T)</f>
        <v>22</v>
      </c>
      <c r="V2" s="1">
        <f>SUM(Sheet2!U:U)</f>
        <v>11</v>
      </c>
      <c r="W2" s="2">
        <f>V2/U2</f>
        <v>0.5</v>
      </c>
      <c r="X2" s="1">
        <f>SUM(Sheet2!V:V)</f>
        <v>31</v>
      </c>
      <c r="Y2" s="1">
        <f>SUM(Sheet2!W:W)</f>
        <v>21</v>
      </c>
      <c r="Z2" s="2">
        <f>Y2/X2</f>
        <v>0.67741935483870963</v>
      </c>
      <c r="AA2" s="1">
        <f>SUM(Sheet2!X:X)</f>
        <v>31</v>
      </c>
      <c r="AB2" s="1">
        <f>SUM(Sheet2!Y:Y)</f>
        <v>19</v>
      </c>
      <c r="AC2" s="2">
        <f>AB2/AA2</f>
        <v>0.61290322580645162</v>
      </c>
      <c r="AD2" s="1">
        <f>SUM(Sheet2!Z:Z)</f>
        <v>9</v>
      </c>
      <c r="AE2" s="1">
        <f>SUM(Sheet2!AA:AA)</f>
        <v>3</v>
      </c>
      <c r="AF2" s="1">
        <f>SUM(Sheet2!P:P)</f>
        <v>39</v>
      </c>
      <c r="AG2" s="1">
        <f>SUM(Sheet2!Q:Q)</f>
        <v>21</v>
      </c>
      <c r="AH2" s="2">
        <f>AG2/AF2</f>
        <v>0.53846153846153844</v>
      </c>
      <c r="AI2" s="1">
        <f>SUM(Sheet2!AD:AD)</f>
        <v>4</v>
      </c>
      <c r="AJ2" s="1">
        <f>SUM(Sheet2!AE:AE)</f>
        <v>1</v>
      </c>
      <c r="AK2" s="1">
        <f>SUM(Sheet2!AF:AF)</f>
        <v>26</v>
      </c>
      <c r="AL2" s="1">
        <f>SUM(Sheet2!AG:AG)</f>
        <v>0</v>
      </c>
      <c r="AM2" s="1">
        <f>SUM(Sheet2!AH:AH)</f>
        <v>16</v>
      </c>
      <c r="AN2" s="1">
        <f>SUM(Sheet2!AI:AI)</f>
        <v>2</v>
      </c>
      <c r="AO2" s="1">
        <f>SUM(Sheet2!AJ:AJ)</f>
        <v>7</v>
      </c>
      <c r="AP2" s="1">
        <f>SUM(Sheet2!AK:AK)</f>
        <v>3</v>
      </c>
      <c r="AQ2" s="1" t="s">
        <v>142</v>
      </c>
      <c r="AR2" s="1" t="s">
        <v>146</v>
      </c>
      <c r="AS2" s="1">
        <f>SUM(Sheet3!T:T)</f>
        <v>2</v>
      </c>
      <c r="AT2" s="1">
        <f>SUM(Sheet3!U:U)</f>
        <v>1</v>
      </c>
      <c r="AU2" s="1">
        <f>SUM(Sheet2!AN:AN)</f>
        <v>4</v>
      </c>
      <c r="AV2" s="1">
        <f>SUM(Sheet2!AO:AO)</f>
        <v>0</v>
      </c>
      <c r="AW2" s="1" t="s">
        <v>143</v>
      </c>
      <c r="AX2" s="1">
        <v>2</v>
      </c>
      <c r="AY2" t="s">
        <v>144</v>
      </c>
      <c r="AZ2" t="s">
        <v>145</v>
      </c>
      <c r="BA2">
        <v>37</v>
      </c>
      <c r="BB2" s="7">
        <v>46145</v>
      </c>
    </row>
    <row r="7" spans="1:54" x14ac:dyDescent="0.3">
      <c r="AF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AX20"/>
  <sheetViews>
    <sheetView tabSelected="1" zoomScale="70" zoomScaleNormal="70" workbookViewId="0">
      <pane xSplit="1" topLeftCell="B1" activePane="topRight" state="frozen"/>
      <selection pane="topRight" activeCell="J15" sqref="J15"/>
    </sheetView>
  </sheetViews>
  <sheetFormatPr defaultRowHeight="14.4" x14ac:dyDescent="0.3"/>
  <cols>
    <col min="11" max="11" width="10.44140625" customWidth="1"/>
    <col min="12" max="12" width="10.77734375" customWidth="1"/>
    <col min="30" max="30" width="13.88671875" customWidth="1"/>
    <col min="31" max="31" width="18.88671875" customWidth="1"/>
  </cols>
  <sheetData>
    <row r="1" spans="1:50" s="4" customFormat="1" x14ac:dyDescent="0.3">
      <c r="A1" s="4" t="s">
        <v>32</v>
      </c>
      <c r="B1" s="4" t="s">
        <v>33</v>
      </c>
      <c r="C1" s="4" t="s">
        <v>12</v>
      </c>
      <c r="D1" s="4" t="s">
        <v>13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81</v>
      </c>
      <c r="L1" s="4" t="s">
        <v>18</v>
      </c>
      <c r="M1" s="4" t="s">
        <v>16</v>
      </c>
      <c r="N1" s="4" t="s">
        <v>17</v>
      </c>
      <c r="O1" s="4" t="s">
        <v>82</v>
      </c>
      <c r="P1" s="4" t="s">
        <v>34</v>
      </c>
      <c r="Q1" s="4" t="s">
        <v>35</v>
      </c>
      <c r="R1" s="4" t="s">
        <v>125</v>
      </c>
      <c r="S1" s="4" t="s">
        <v>126</v>
      </c>
      <c r="T1" s="4" t="s">
        <v>83</v>
      </c>
      <c r="U1" s="4" t="s">
        <v>84</v>
      </c>
      <c r="V1" s="4" t="s">
        <v>85</v>
      </c>
      <c r="W1" s="4" t="s">
        <v>86</v>
      </c>
      <c r="X1" s="4" t="s">
        <v>36</v>
      </c>
      <c r="Y1" s="4" t="s">
        <v>37</v>
      </c>
      <c r="Z1" s="4" t="s">
        <v>111</v>
      </c>
      <c r="AA1" s="4" t="s">
        <v>112</v>
      </c>
      <c r="AB1" s="4" t="s">
        <v>19</v>
      </c>
      <c r="AC1" s="4" t="s">
        <v>20</v>
      </c>
      <c r="AD1" s="4" t="s">
        <v>87</v>
      </c>
      <c r="AE1" s="4" t="s">
        <v>88</v>
      </c>
      <c r="AF1" s="4" t="s">
        <v>89</v>
      </c>
      <c r="AG1" s="4" t="s">
        <v>90</v>
      </c>
      <c r="AH1" s="4" t="s">
        <v>91</v>
      </c>
      <c r="AI1" s="4" t="s">
        <v>92</v>
      </c>
      <c r="AJ1" s="4" t="s">
        <v>93</v>
      </c>
      <c r="AK1" s="4" t="s">
        <v>94</v>
      </c>
      <c r="AL1" s="4" t="s">
        <v>14</v>
      </c>
      <c r="AM1" s="4" t="s">
        <v>15</v>
      </c>
      <c r="AN1" s="4" t="s">
        <v>38</v>
      </c>
      <c r="AO1" s="4" t="s">
        <v>39</v>
      </c>
      <c r="AP1" s="4" t="s">
        <v>21</v>
      </c>
      <c r="AQ1" s="4" t="s">
        <v>95</v>
      </c>
      <c r="AR1" s="4" t="s">
        <v>22</v>
      </c>
      <c r="AS1" s="4" t="s">
        <v>106</v>
      </c>
      <c r="AT1" s="4" t="s">
        <v>28</v>
      </c>
      <c r="AU1" s="4" t="s">
        <v>29</v>
      </c>
      <c r="AV1" s="4" t="s">
        <v>42</v>
      </c>
      <c r="AW1" s="4" t="s">
        <v>43</v>
      </c>
      <c r="AX1" s="4" t="s">
        <v>78</v>
      </c>
    </row>
    <row r="2" spans="1:50" x14ac:dyDescent="0.3">
      <c r="A2" s="3" t="s">
        <v>137</v>
      </c>
      <c r="B2" s="3" t="s">
        <v>73</v>
      </c>
      <c r="C2" s="3">
        <v>96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>
        <v>4</v>
      </c>
      <c r="Q2" s="3">
        <v>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1</v>
      </c>
      <c r="AF2" s="3"/>
      <c r="AG2" s="3"/>
      <c r="AH2" s="3"/>
      <c r="AI2" s="3"/>
      <c r="AJ2" s="3"/>
      <c r="AK2" s="3"/>
      <c r="AL2" s="3">
        <v>2</v>
      </c>
      <c r="AM2" s="3"/>
      <c r="AN2" s="3"/>
      <c r="AO2" s="3"/>
      <c r="AP2" s="3">
        <f>SUM(Sheet3!R:R)</f>
        <v>1</v>
      </c>
      <c r="AQ2" s="3">
        <v>0</v>
      </c>
      <c r="AR2" s="3">
        <v>1</v>
      </c>
      <c r="AS2" s="3" t="s">
        <v>107</v>
      </c>
      <c r="AT2" t="s">
        <v>142</v>
      </c>
      <c r="AU2" s="1" t="s">
        <v>146</v>
      </c>
      <c r="AV2" s="3" t="s">
        <v>143</v>
      </c>
      <c r="AW2" s="1">
        <v>2</v>
      </c>
      <c r="AX2">
        <v>37</v>
      </c>
    </row>
    <row r="3" spans="1:50" x14ac:dyDescent="0.3">
      <c r="A3" s="3" t="s">
        <v>138</v>
      </c>
      <c r="B3" s="3" t="s">
        <v>133</v>
      </c>
      <c r="C3" s="3">
        <v>85</v>
      </c>
      <c r="D3" s="3"/>
      <c r="E3" s="3"/>
      <c r="F3" s="3"/>
      <c r="G3" s="3"/>
      <c r="H3" s="3"/>
      <c r="I3" s="3"/>
      <c r="J3" s="3"/>
      <c r="M3" s="3"/>
      <c r="N3" s="3">
        <v>1</v>
      </c>
      <c r="O3" s="3">
        <v>1</v>
      </c>
      <c r="P3" s="3">
        <v>3</v>
      </c>
      <c r="Q3" s="3">
        <v>1</v>
      </c>
      <c r="R3" s="3"/>
      <c r="S3" s="3"/>
      <c r="T3" s="3">
        <v>2</v>
      </c>
      <c r="U3" s="3">
        <v>2</v>
      </c>
      <c r="V3" s="3">
        <v>7</v>
      </c>
      <c r="W3" s="3">
        <v>5</v>
      </c>
      <c r="X3" s="3">
        <v>4</v>
      </c>
      <c r="Y3" s="3">
        <v>4</v>
      </c>
      <c r="Z3" s="3">
        <v>2</v>
      </c>
      <c r="AA3" s="3">
        <v>2</v>
      </c>
      <c r="AB3" s="3">
        <v>1</v>
      </c>
      <c r="AC3" s="3">
        <v>4</v>
      </c>
      <c r="AD3" s="3">
        <v>1</v>
      </c>
      <c r="AE3" s="3"/>
      <c r="AF3" s="3"/>
      <c r="AG3" s="3"/>
      <c r="AH3" s="3">
        <v>2</v>
      </c>
      <c r="AI3" s="3"/>
      <c r="AJ3" s="3">
        <v>1</v>
      </c>
      <c r="AK3" s="3">
        <v>1</v>
      </c>
      <c r="AL3" s="3"/>
      <c r="AM3" s="3">
        <v>3</v>
      </c>
      <c r="AN3" s="3">
        <v>1</v>
      </c>
      <c r="AO3" s="3"/>
      <c r="AP3" s="3"/>
      <c r="AQ3" s="3"/>
      <c r="AR3" s="3">
        <v>1</v>
      </c>
      <c r="AS3" s="3" t="s">
        <v>107</v>
      </c>
      <c r="AT3" t="s">
        <v>142</v>
      </c>
      <c r="AU3" s="1" t="s">
        <v>146</v>
      </c>
      <c r="AV3" s="3" t="s">
        <v>143</v>
      </c>
      <c r="AW3" s="1">
        <v>2</v>
      </c>
      <c r="AX3">
        <v>37</v>
      </c>
    </row>
    <row r="4" spans="1:50" x14ac:dyDescent="0.3">
      <c r="A4" s="3" t="s">
        <v>69</v>
      </c>
      <c r="B4" s="3" t="s">
        <v>74</v>
      </c>
      <c r="C4" s="3">
        <v>96</v>
      </c>
      <c r="D4" s="3">
        <v>1</v>
      </c>
      <c r="E4" s="3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>
        <v>15</v>
      </c>
      <c r="Q4" s="3">
        <v>10</v>
      </c>
      <c r="R4" s="3">
        <v>1</v>
      </c>
      <c r="S4" s="3">
        <v>1</v>
      </c>
      <c r="T4" s="3"/>
      <c r="U4" s="3"/>
      <c r="V4" s="3">
        <v>5</v>
      </c>
      <c r="W4" s="3">
        <v>4</v>
      </c>
      <c r="X4" s="3">
        <v>6</v>
      </c>
      <c r="Y4" s="3">
        <v>3</v>
      </c>
      <c r="Z4" s="3"/>
      <c r="AA4" s="3"/>
      <c r="AB4" s="3">
        <v>1</v>
      </c>
      <c r="AC4" s="3"/>
      <c r="AD4" s="3"/>
      <c r="AE4" s="3"/>
      <c r="AF4" s="3"/>
      <c r="AG4" s="3"/>
      <c r="AH4" s="3">
        <v>2</v>
      </c>
      <c r="AI4" s="3"/>
      <c r="AJ4" s="3"/>
      <c r="AK4" s="3"/>
      <c r="AL4" s="3"/>
      <c r="AM4" s="3"/>
      <c r="AN4" s="3"/>
      <c r="AO4" s="3"/>
      <c r="AP4" s="3"/>
      <c r="AQ4" s="3"/>
      <c r="AR4" s="3">
        <v>1</v>
      </c>
      <c r="AS4" s="3" t="s">
        <v>107</v>
      </c>
      <c r="AT4" t="s">
        <v>142</v>
      </c>
      <c r="AU4" s="1" t="s">
        <v>146</v>
      </c>
      <c r="AV4" s="3" t="s">
        <v>143</v>
      </c>
      <c r="AW4" s="1">
        <v>2</v>
      </c>
      <c r="AX4">
        <v>37</v>
      </c>
    </row>
    <row r="5" spans="1:50" x14ac:dyDescent="0.3">
      <c r="A5" s="3" t="s">
        <v>70</v>
      </c>
      <c r="B5" s="3" t="s">
        <v>74</v>
      </c>
      <c r="C5" s="3">
        <v>96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/>
      <c r="P5" s="3">
        <v>4</v>
      </c>
      <c r="Q5" s="3">
        <v>1</v>
      </c>
      <c r="R5" s="3"/>
      <c r="S5" s="3"/>
      <c r="T5" s="3"/>
      <c r="U5" s="3"/>
      <c r="V5" s="3">
        <v>1</v>
      </c>
      <c r="W5" s="3">
        <v>1</v>
      </c>
      <c r="X5" s="3">
        <v>3</v>
      </c>
      <c r="Y5" s="3">
        <v>1</v>
      </c>
      <c r="Z5" s="3"/>
      <c r="AA5" s="3"/>
      <c r="AB5" s="3">
        <v>2</v>
      </c>
      <c r="AC5" s="3"/>
      <c r="AD5" s="3"/>
      <c r="AE5" s="3"/>
      <c r="AF5" s="3"/>
      <c r="AG5" s="3"/>
      <c r="AH5" s="3">
        <v>2</v>
      </c>
      <c r="AI5" s="3"/>
      <c r="AJ5" s="3"/>
      <c r="AK5" s="3"/>
      <c r="AL5" s="3">
        <v>1</v>
      </c>
      <c r="AM5" s="3"/>
      <c r="AN5" s="3"/>
      <c r="AO5" s="3"/>
      <c r="AP5" s="3"/>
      <c r="AQ5" s="3"/>
      <c r="AR5" s="3">
        <v>1</v>
      </c>
      <c r="AS5" s="3" t="s">
        <v>107</v>
      </c>
      <c r="AT5" t="s">
        <v>142</v>
      </c>
      <c r="AU5" s="1" t="s">
        <v>146</v>
      </c>
      <c r="AV5" s="3" t="s">
        <v>143</v>
      </c>
      <c r="AW5" s="1">
        <v>2</v>
      </c>
      <c r="AX5">
        <v>37</v>
      </c>
    </row>
    <row r="6" spans="1:50" x14ac:dyDescent="0.3">
      <c r="A6" s="3" t="s">
        <v>139</v>
      </c>
      <c r="B6" s="3" t="s">
        <v>134</v>
      </c>
      <c r="C6" s="3">
        <v>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</v>
      </c>
      <c r="Q6" s="3">
        <v>0</v>
      </c>
      <c r="R6" s="3">
        <v>1</v>
      </c>
      <c r="S6" s="3"/>
      <c r="T6" s="3">
        <v>1</v>
      </c>
      <c r="U6" s="3">
        <v>0</v>
      </c>
      <c r="V6" s="3">
        <v>6</v>
      </c>
      <c r="W6" s="3">
        <v>3</v>
      </c>
      <c r="X6" s="3">
        <v>2</v>
      </c>
      <c r="Y6" s="3">
        <v>1</v>
      </c>
      <c r="Z6" s="3"/>
      <c r="AA6" s="3"/>
      <c r="AB6" s="3">
        <v>1</v>
      </c>
      <c r="AC6" s="3">
        <v>2</v>
      </c>
      <c r="AD6" s="3"/>
      <c r="AE6" s="3"/>
      <c r="AF6" s="3">
        <v>1</v>
      </c>
      <c r="AG6" s="3"/>
      <c r="AH6" s="3">
        <v>1</v>
      </c>
      <c r="AI6" s="3"/>
      <c r="AJ6" s="3"/>
      <c r="AK6" s="3"/>
      <c r="AL6" s="3"/>
      <c r="AM6" s="3">
        <v>2</v>
      </c>
      <c r="AN6" s="3"/>
      <c r="AO6" s="3"/>
      <c r="AP6" s="3"/>
      <c r="AQ6" s="3"/>
      <c r="AR6" s="3">
        <v>1</v>
      </c>
      <c r="AS6" s="3" t="s">
        <v>107</v>
      </c>
      <c r="AT6" t="s">
        <v>142</v>
      </c>
      <c r="AU6" s="1" t="s">
        <v>146</v>
      </c>
      <c r="AV6" s="3" t="s">
        <v>143</v>
      </c>
      <c r="AW6" s="1">
        <v>2</v>
      </c>
      <c r="AX6">
        <v>37</v>
      </c>
    </row>
    <row r="7" spans="1:50" x14ac:dyDescent="0.3">
      <c r="A7" s="3" t="s">
        <v>71</v>
      </c>
      <c r="B7" s="3" t="s">
        <v>75</v>
      </c>
      <c r="C7" s="3">
        <v>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3</v>
      </c>
      <c r="Q7" s="3">
        <v>1</v>
      </c>
      <c r="R7" s="3">
        <v>2</v>
      </c>
      <c r="S7" s="3">
        <v>2</v>
      </c>
      <c r="T7" s="3"/>
      <c r="U7" s="3"/>
      <c r="V7" s="3">
        <v>5</v>
      </c>
      <c r="W7" s="3">
        <v>2</v>
      </c>
      <c r="X7" s="3">
        <v>5</v>
      </c>
      <c r="Y7" s="3">
        <v>3</v>
      </c>
      <c r="Z7" s="3"/>
      <c r="AA7" s="3"/>
      <c r="AB7" s="3">
        <v>2</v>
      </c>
      <c r="AC7" s="3">
        <v>6</v>
      </c>
      <c r="AD7" s="3"/>
      <c r="AE7" s="3"/>
      <c r="AF7" s="3">
        <v>1</v>
      </c>
      <c r="AG7" s="3"/>
      <c r="AH7" s="3">
        <v>2</v>
      </c>
      <c r="AI7" s="3"/>
      <c r="AJ7" s="3">
        <v>2</v>
      </c>
      <c r="AK7" s="3"/>
      <c r="AL7" s="3">
        <v>1</v>
      </c>
      <c r="AM7" s="3">
        <v>3</v>
      </c>
      <c r="AN7" s="3"/>
      <c r="AO7" s="3"/>
      <c r="AP7" s="3"/>
      <c r="AQ7" s="3"/>
      <c r="AR7" s="3">
        <v>1</v>
      </c>
      <c r="AS7" s="3" t="s">
        <v>107</v>
      </c>
      <c r="AT7" t="s">
        <v>142</v>
      </c>
      <c r="AU7" s="1" t="s">
        <v>146</v>
      </c>
      <c r="AV7" s="3" t="s">
        <v>143</v>
      </c>
      <c r="AW7" s="1">
        <v>2</v>
      </c>
      <c r="AX7">
        <v>37</v>
      </c>
    </row>
    <row r="8" spans="1:50" x14ac:dyDescent="0.3">
      <c r="A8" s="3" t="s">
        <v>80</v>
      </c>
      <c r="B8" s="3" t="s">
        <v>75</v>
      </c>
      <c r="C8" s="3">
        <v>96</v>
      </c>
      <c r="D8" s="3"/>
      <c r="E8" s="3"/>
      <c r="F8" s="3">
        <v>1</v>
      </c>
      <c r="G8" s="3"/>
      <c r="H8" s="3"/>
      <c r="I8" s="3">
        <v>1</v>
      </c>
      <c r="J8" s="3"/>
      <c r="K8" s="3"/>
      <c r="L8" s="3"/>
      <c r="M8" s="3"/>
      <c r="N8" s="3">
        <v>1</v>
      </c>
      <c r="O8" s="3">
        <v>1</v>
      </c>
      <c r="P8" s="3">
        <v>3</v>
      </c>
      <c r="Q8" s="3">
        <v>1</v>
      </c>
      <c r="R8" s="3"/>
      <c r="S8" s="3"/>
      <c r="T8" s="3">
        <v>5</v>
      </c>
      <c r="U8" s="3">
        <v>3</v>
      </c>
      <c r="V8" s="3">
        <v>1</v>
      </c>
      <c r="W8" s="3">
        <v>1</v>
      </c>
      <c r="X8" s="3">
        <v>1</v>
      </c>
      <c r="Y8" s="3">
        <v>0</v>
      </c>
      <c r="Z8" s="3">
        <v>2</v>
      </c>
      <c r="AA8" s="3">
        <v>0</v>
      </c>
      <c r="AB8" s="3">
        <v>1</v>
      </c>
      <c r="AC8" s="3">
        <v>2</v>
      </c>
      <c r="AD8" s="3"/>
      <c r="AE8" s="3"/>
      <c r="AF8" s="3">
        <v>6</v>
      </c>
      <c r="AG8" s="3"/>
      <c r="AH8" s="3">
        <v>1</v>
      </c>
      <c r="AI8" s="3"/>
      <c r="AJ8" s="3"/>
      <c r="AK8" s="3"/>
      <c r="AL8" s="3">
        <v>3</v>
      </c>
      <c r="AM8" s="3">
        <v>2</v>
      </c>
      <c r="AN8" s="3"/>
      <c r="AO8" s="3"/>
      <c r="AP8" s="3"/>
      <c r="AQ8" s="3"/>
      <c r="AR8" s="3">
        <v>1</v>
      </c>
      <c r="AS8" s="3" t="s">
        <v>107</v>
      </c>
      <c r="AT8" t="s">
        <v>142</v>
      </c>
      <c r="AU8" s="1" t="s">
        <v>146</v>
      </c>
      <c r="AV8" s="3" t="s">
        <v>143</v>
      </c>
      <c r="AW8" s="1">
        <v>2</v>
      </c>
      <c r="AX8">
        <v>37</v>
      </c>
    </row>
    <row r="9" spans="1:50" x14ac:dyDescent="0.3">
      <c r="A9" s="3" t="s">
        <v>140</v>
      </c>
      <c r="B9" s="3" t="s">
        <v>76</v>
      </c>
      <c r="C9" s="3">
        <v>65</v>
      </c>
      <c r="D9" s="3"/>
      <c r="E9" s="3"/>
      <c r="F9" s="3">
        <v>1</v>
      </c>
      <c r="G9" s="3"/>
      <c r="H9" s="3"/>
      <c r="I9" s="3"/>
      <c r="J9" s="3"/>
      <c r="K9" s="3"/>
      <c r="L9" s="3">
        <v>1</v>
      </c>
      <c r="M9" s="3"/>
      <c r="N9" s="3">
        <v>1</v>
      </c>
      <c r="O9" s="3"/>
      <c r="P9" s="3">
        <v>1</v>
      </c>
      <c r="Q9" s="3">
        <v>1</v>
      </c>
      <c r="R9" s="3">
        <v>1</v>
      </c>
      <c r="S9" s="3">
        <v>1</v>
      </c>
      <c r="T9" s="3"/>
      <c r="U9" s="3"/>
      <c r="V9" s="3"/>
      <c r="W9" s="3"/>
      <c r="X9" s="3"/>
      <c r="Y9" s="3"/>
      <c r="Z9" s="3"/>
      <c r="AA9" s="3"/>
      <c r="AB9" s="3"/>
      <c r="AC9" s="3">
        <v>1</v>
      </c>
      <c r="AD9" s="3"/>
      <c r="AE9" s="3"/>
      <c r="AF9" s="3">
        <v>2</v>
      </c>
      <c r="AG9" s="3"/>
      <c r="AH9" s="3"/>
      <c r="AI9" s="3"/>
      <c r="AJ9" s="3">
        <v>2</v>
      </c>
      <c r="AK9" s="3"/>
      <c r="AL9" s="3">
        <v>1</v>
      </c>
      <c r="AM9" s="3"/>
      <c r="AN9" s="3"/>
      <c r="AO9" s="3"/>
      <c r="AP9" s="3"/>
      <c r="AQ9" s="3"/>
      <c r="AR9" s="3">
        <v>1</v>
      </c>
      <c r="AS9" s="3" t="s">
        <v>107</v>
      </c>
      <c r="AT9" t="s">
        <v>142</v>
      </c>
      <c r="AU9" s="1" t="s">
        <v>146</v>
      </c>
      <c r="AV9" s="3" t="s">
        <v>143</v>
      </c>
      <c r="AW9" s="1">
        <v>2</v>
      </c>
      <c r="AX9">
        <v>37</v>
      </c>
    </row>
    <row r="10" spans="1:50" x14ac:dyDescent="0.3">
      <c r="A10" s="3" t="s">
        <v>72</v>
      </c>
      <c r="B10" s="3" t="s">
        <v>135</v>
      </c>
      <c r="C10" s="3">
        <v>85</v>
      </c>
      <c r="D10" s="3"/>
      <c r="E10" s="3">
        <v>1</v>
      </c>
      <c r="F10" s="3"/>
      <c r="G10" s="3"/>
      <c r="H10" s="3">
        <v>1</v>
      </c>
      <c r="I10" s="3"/>
      <c r="J10" s="3"/>
      <c r="K10" s="3"/>
      <c r="L10" s="3">
        <v>1</v>
      </c>
      <c r="M10" s="3"/>
      <c r="N10" s="3"/>
      <c r="O10" s="3"/>
      <c r="P10" s="3">
        <v>2</v>
      </c>
      <c r="Q10" s="3">
        <v>2</v>
      </c>
      <c r="R10" s="3"/>
      <c r="S10" s="3"/>
      <c r="T10" s="3">
        <v>2</v>
      </c>
      <c r="U10" s="3">
        <v>0</v>
      </c>
      <c r="V10" s="3">
        <v>2</v>
      </c>
      <c r="W10" s="3">
        <v>1</v>
      </c>
      <c r="X10" s="3">
        <v>1</v>
      </c>
      <c r="Y10" s="3">
        <v>1</v>
      </c>
      <c r="Z10" s="3"/>
      <c r="AA10" s="3"/>
      <c r="AB10" s="3"/>
      <c r="AC10" s="3"/>
      <c r="AD10" s="3">
        <v>1</v>
      </c>
      <c r="AE10" s="3"/>
      <c r="AF10" s="3">
        <v>3</v>
      </c>
      <c r="AG10" s="3"/>
      <c r="AH10" s="3">
        <v>2</v>
      </c>
      <c r="AI10" s="3"/>
      <c r="AJ10" s="3"/>
      <c r="AK10" s="3"/>
      <c r="AL10" s="3">
        <v>1</v>
      </c>
      <c r="AM10" s="3">
        <v>2</v>
      </c>
      <c r="AN10" s="3"/>
      <c r="AO10" s="3"/>
      <c r="AP10" s="3"/>
      <c r="AQ10" s="3"/>
      <c r="AR10" s="3">
        <v>1</v>
      </c>
      <c r="AS10" s="3" t="s">
        <v>107</v>
      </c>
      <c r="AT10" t="s">
        <v>142</v>
      </c>
      <c r="AU10" s="1" t="s">
        <v>146</v>
      </c>
      <c r="AV10" s="3" t="s">
        <v>143</v>
      </c>
      <c r="AW10" s="1">
        <v>2</v>
      </c>
      <c r="AX10">
        <v>37</v>
      </c>
    </row>
    <row r="11" spans="1:50" x14ac:dyDescent="0.3">
      <c r="A11" s="3" t="s">
        <v>136</v>
      </c>
      <c r="B11" s="3" t="s">
        <v>135</v>
      </c>
      <c r="C11" s="3">
        <v>96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>
        <v>1</v>
      </c>
      <c r="O11" s="3">
        <v>2</v>
      </c>
      <c r="P11" s="3">
        <v>2</v>
      </c>
      <c r="Q11" s="3">
        <v>2</v>
      </c>
      <c r="R11" s="3"/>
      <c r="S11" s="3"/>
      <c r="T11" s="3">
        <v>9</v>
      </c>
      <c r="U11" s="3">
        <v>6</v>
      </c>
      <c r="V11" s="3">
        <v>1</v>
      </c>
      <c r="W11" s="3">
        <v>1</v>
      </c>
      <c r="X11" s="3">
        <v>4</v>
      </c>
      <c r="Y11" s="3">
        <v>2</v>
      </c>
      <c r="Z11" s="3">
        <v>4</v>
      </c>
      <c r="AA11" s="3">
        <v>1</v>
      </c>
      <c r="AB11" s="3">
        <v>1</v>
      </c>
      <c r="AC11" s="3"/>
      <c r="AD11" s="3"/>
      <c r="AE11" s="3"/>
      <c r="AF11" s="3">
        <v>8</v>
      </c>
      <c r="AG11" s="3"/>
      <c r="AH11" s="3">
        <v>1</v>
      </c>
      <c r="AI11" s="3"/>
      <c r="AJ11" s="3">
        <v>1</v>
      </c>
      <c r="AK11" s="3">
        <v>2</v>
      </c>
      <c r="AL11" s="3">
        <v>2</v>
      </c>
      <c r="AM11" s="3">
        <v>4</v>
      </c>
      <c r="AN11" s="3"/>
      <c r="AO11" s="3"/>
      <c r="AP11" s="3"/>
      <c r="AQ11" s="3"/>
      <c r="AR11" s="3">
        <v>1</v>
      </c>
      <c r="AS11" s="3" t="s">
        <v>107</v>
      </c>
      <c r="AT11" t="s">
        <v>142</v>
      </c>
      <c r="AU11" s="1" t="s">
        <v>146</v>
      </c>
      <c r="AV11" s="3" t="s">
        <v>143</v>
      </c>
      <c r="AW11" s="1">
        <v>2</v>
      </c>
      <c r="AX11">
        <v>37</v>
      </c>
    </row>
    <row r="12" spans="1:50" x14ac:dyDescent="0.3">
      <c r="A12" s="3" t="s">
        <v>147</v>
      </c>
      <c r="B12" s="3" t="s">
        <v>77</v>
      </c>
      <c r="C12" s="3">
        <v>96</v>
      </c>
      <c r="D12" s="3"/>
      <c r="E12" s="3">
        <v>1</v>
      </c>
      <c r="F12" s="3">
        <v>1</v>
      </c>
      <c r="G12" s="3"/>
      <c r="H12" s="3"/>
      <c r="I12" s="3"/>
      <c r="J12" s="3"/>
      <c r="K12" s="3"/>
      <c r="L12" s="3">
        <v>1</v>
      </c>
      <c r="M12" s="3"/>
      <c r="N12" s="3"/>
      <c r="O12" s="3"/>
      <c r="P12" s="3"/>
      <c r="Q12" s="3"/>
      <c r="R12" s="3">
        <v>1</v>
      </c>
      <c r="S12" s="3"/>
      <c r="T12" s="3">
        <v>1</v>
      </c>
      <c r="U12" s="3">
        <v>0</v>
      </c>
      <c r="V12" s="3"/>
      <c r="W12" s="3"/>
      <c r="X12" s="3">
        <v>1</v>
      </c>
      <c r="Y12" s="3">
        <v>0</v>
      </c>
      <c r="Z12" s="3"/>
      <c r="AA12" s="3"/>
      <c r="AB12" s="3"/>
      <c r="AC12" s="3"/>
      <c r="AD12" s="3"/>
      <c r="AE12" s="3"/>
      <c r="AF12" s="3">
        <v>1</v>
      </c>
      <c r="AG12" s="3"/>
      <c r="AH12" s="3"/>
      <c r="AI12" s="3"/>
      <c r="AJ12" s="3"/>
      <c r="AK12" s="3"/>
      <c r="AL12" s="3"/>
      <c r="AM12" s="3">
        <v>1</v>
      </c>
      <c r="AN12" s="3">
        <v>1</v>
      </c>
      <c r="AO12" s="3"/>
      <c r="AP12" s="3"/>
      <c r="AQ12" s="3"/>
      <c r="AR12" s="3">
        <v>1</v>
      </c>
      <c r="AS12" s="3" t="s">
        <v>107</v>
      </c>
      <c r="AT12" t="s">
        <v>142</v>
      </c>
      <c r="AU12" s="1" t="s">
        <v>146</v>
      </c>
      <c r="AV12" s="3" t="s">
        <v>143</v>
      </c>
      <c r="AW12" s="1">
        <v>2</v>
      </c>
      <c r="AX12">
        <v>37</v>
      </c>
    </row>
    <row r="13" spans="1:50" x14ac:dyDescent="0.3">
      <c r="A13" s="3" t="s">
        <v>148</v>
      </c>
      <c r="B13" s="3" t="s">
        <v>75</v>
      </c>
      <c r="C13" s="3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3</v>
      </c>
      <c r="S13" s="3">
        <v>1</v>
      </c>
      <c r="T13" s="3">
        <v>1</v>
      </c>
      <c r="U13" s="3">
        <v>0</v>
      </c>
      <c r="V13" s="3">
        <v>1</v>
      </c>
      <c r="W13" s="3">
        <v>1</v>
      </c>
      <c r="X13" s="3">
        <v>1</v>
      </c>
      <c r="Y13" s="3">
        <v>1</v>
      </c>
      <c r="Z13" s="3"/>
      <c r="AA13" s="3"/>
      <c r="AB13" s="3"/>
      <c r="AC13" s="3"/>
      <c r="AD13" s="3">
        <v>1</v>
      </c>
      <c r="AE13" s="3"/>
      <c r="AF13" s="3">
        <v>1</v>
      </c>
      <c r="AG13" s="3"/>
      <c r="AH13" s="3">
        <v>1</v>
      </c>
      <c r="AI13" s="3">
        <v>1</v>
      </c>
      <c r="AJ13" s="3">
        <v>1</v>
      </c>
      <c r="AK13" s="3"/>
      <c r="AL13" s="3">
        <v>1</v>
      </c>
      <c r="AM13" s="3"/>
      <c r="AN13" s="3"/>
      <c r="AO13" s="3"/>
      <c r="AP13" s="3"/>
      <c r="AQ13" s="3"/>
      <c r="AR13" s="3">
        <v>0</v>
      </c>
      <c r="AS13" s="3" t="s">
        <v>149</v>
      </c>
      <c r="AT13" t="s">
        <v>142</v>
      </c>
      <c r="AU13" s="1" t="s">
        <v>146</v>
      </c>
      <c r="AV13" s="3" t="s">
        <v>143</v>
      </c>
      <c r="AW13" s="1">
        <v>2</v>
      </c>
      <c r="AX13">
        <v>37</v>
      </c>
    </row>
    <row r="14" spans="1:50" x14ac:dyDescent="0.3">
      <c r="A14" s="3" t="s">
        <v>150</v>
      </c>
      <c r="B14" s="3" t="s">
        <v>134</v>
      </c>
      <c r="C14" s="3">
        <v>24</v>
      </c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1</v>
      </c>
      <c r="U14" s="3">
        <v>0</v>
      </c>
      <c r="V14" s="3">
        <v>2</v>
      </c>
      <c r="W14" s="3">
        <v>2</v>
      </c>
      <c r="X14" s="3">
        <v>1</v>
      </c>
      <c r="Y14" s="3">
        <v>1</v>
      </c>
      <c r="Z14" s="3">
        <v>1</v>
      </c>
      <c r="AA14" s="3">
        <v>0</v>
      </c>
      <c r="AB14" s="3"/>
      <c r="AC14" s="3"/>
      <c r="AD14" s="3">
        <v>1</v>
      </c>
      <c r="AE14" s="3"/>
      <c r="AF14" s="3">
        <v>2</v>
      </c>
      <c r="AG14" s="3"/>
      <c r="AH14" s="3">
        <v>2</v>
      </c>
      <c r="AI14" s="3">
        <v>1</v>
      </c>
      <c r="AJ14" s="3"/>
      <c r="AK14" s="3"/>
      <c r="AL14" s="3"/>
      <c r="AM14" s="3">
        <v>1</v>
      </c>
      <c r="AN14" s="3">
        <v>1</v>
      </c>
      <c r="AO14" s="3"/>
      <c r="AP14" s="3"/>
      <c r="AQ14" s="3"/>
      <c r="AR14" s="3">
        <v>0</v>
      </c>
      <c r="AS14" s="3" t="s">
        <v>149</v>
      </c>
      <c r="AT14" t="s">
        <v>142</v>
      </c>
      <c r="AU14" s="1" t="s">
        <v>146</v>
      </c>
      <c r="AV14" s="3" t="s">
        <v>143</v>
      </c>
      <c r="AW14" s="1">
        <v>2</v>
      </c>
      <c r="AX14">
        <v>37</v>
      </c>
    </row>
    <row r="15" spans="1:50" x14ac:dyDescent="0.3">
      <c r="A15" s="3" t="s">
        <v>151</v>
      </c>
      <c r="B15" s="3" t="s">
        <v>133</v>
      </c>
      <c r="C15" s="3">
        <v>11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>
        <v>2</v>
      </c>
      <c r="Y15" s="3">
        <v>2</v>
      </c>
      <c r="Z15" s="3"/>
      <c r="AA15" s="3"/>
      <c r="AB15" s="3"/>
      <c r="AC15" s="3">
        <v>1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 t="s">
        <v>149</v>
      </c>
      <c r="AT15" t="s">
        <v>142</v>
      </c>
      <c r="AU15" s="1" t="s">
        <v>146</v>
      </c>
      <c r="AV15" s="3" t="s">
        <v>143</v>
      </c>
      <c r="AW15" s="1">
        <v>2</v>
      </c>
      <c r="AX15">
        <v>37</v>
      </c>
    </row>
    <row r="16" spans="1:50" x14ac:dyDescent="0.3">
      <c r="A16" s="3" t="s">
        <v>152</v>
      </c>
      <c r="B16" s="3" t="s">
        <v>135</v>
      </c>
      <c r="C16" s="3">
        <v>11</v>
      </c>
      <c r="D16" s="3">
        <v>1</v>
      </c>
      <c r="E16" s="3">
        <v>1</v>
      </c>
      <c r="F16" s="3"/>
      <c r="G16" s="3"/>
      <c r="H16" s="3"/>
      <c r="I16" s="3"/>
      <c r="J16" s="3"/>
      <c r="K16" s="3"/>
      <c r="L16" s="3">
        <v>1</v>
      </c>
      <c r="M16" s="3"/>
      <c r="N16" s="3">
        <v>1</v>
      </c>
      <c r="O16" s="3"/>
      <c r="P16" s="3">
        <v>1</v>
      </c>
      <c r="Q16" s="3">
        <v>1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1</v>
      </c>
      <c r="AG16" s="3"/>
      <c r="AH16" s="3"/>
      <c r="AI16" s="3"/>
      <c r="AJ16" s="3"/>
      <c r="AK16" s="3"/>
      <c r="AL16" s="3"/>
      <c r="AM16" s="3">
        <v>1</v>
      </c>
      <c r="AN16" s="3">
        <v>1</v>
      </c>
      <c r="AO16" s="3"/>
      <c r="AP16" s="3"/>
      <c r="AQ16" s="3"/>
      <c r="AR16" s="3">
        <v>0</v>
      </c>
      <c r="AS16" s="3" t="s">
        <v>149</v>
      </c>
      <c r="AT16" t="s">
        <v>142</v>
      </c>
      <c r="AU16" s="1" t="s">
        <v>146</v>
      </c>
      <c r="AV16" s="3" t="s">
        <v>143</v>
      </c>
      <c r="AW16" s="1">
        <v>2</v>
      </c>
      <c r="AX16">
        <v>37</v>
      </c>
    </row>
    <row r="17" spans="1:4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20" spans="1:45" x14ac:dyDescent="0.3">
      <c r="Q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802F-9538-4F09-8976-8ED67871CE0D}">
  <dimension ref="A1:W3"/>
  <sheetViews>
    <sheetView zoomScale="70" zoomScaleNormal="70" workbookViewId="0">
      <selection activeCell="V4" sqref="V4"/>
    </sheetView>
  </sheetViews>
  <sheetFormatPr defaultRowHeight="14.4" x14ac:dyDescent="0.3"/>
  <cols>
    <col min="1" max="1" width="11" customWidth="1"/>
    <col min="2" max="2" width="6.44140625" bestFit="1" customWidth="1"/>
    <col min="3" max="3" width="4.6640625" bestFit="1" customWidth="1"/>
    <col min="4" max="4" width="15.109375" bestFit="1" customWidth="1"/>
    <col min="5" max="5" width="13.44140625" bestFit="1" customWidth="1"/>
    <col min="6" max="6" width="19" bestFit="1" customWidth="1"/>
    <col min="7" max="7" width="17.33203125" bestFit="1" customWidth="1"/>
    <col min="8" max="8" width="19.109375" bestFit="1" customWidth="1"/>
    <col min="9" max="9" width="17.44140625" bestFit="1" customWidth="1"/>
    <col min="10" max="10" width="17.77734375" bestFit="1" customWidth="1"/>
    <col min="11" max="11" width="16" bestFit="1" customWidth="1"/>
    <col min="12" max="12" width="15.109375" customWidth="1"/>
    <col min="13" max="13" width="13.88671875" customWidth="1"/>
    <col min="14" max="14" width="16.21875" customWidth="1"/>
    <col min="15" max="15" width="15.33203125" customWidth="1"/>
    <col min="16" max="16" width="14" customWidth="1"/>
    <col min="17" max="17" width="13.109375" customWidth="1"/>
    <col min="18" max="18" width="11.109375" customWidth="1"/>
    <col min="19" max="19" width="10.44140625" customWidth="1"/>
    <col min="20" max="20" width="7.21875" customWidth="1"/>
    <col min="21" max="21" width="7.44140625" customWidth="1"/>
    <col min="22" max="22" width="8" bestFit="1" customWidth="1"/>
  </cols>
  <sheetData>
    <row r="1" spans="1:23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78</v>
      </c>
    </row>
    <row r="2" spans="1:23" x14ac:dyDescent="0.3">
      <c r="A2" t="s">
        <v>142</v>
      </c>
      <c r="B2" s="1">
        <v>2</v>
      </c>
      <c r="C2" t="s">
        <v>66</v>
      </c>
      <c r="D2">
        <v>6</v>
      </c>
      <c r="E2">
        <v>1</v>
      </c>
      <c r="F2">
        <v>4</v>
      </c>
      <c r="G2">
        <v>0</v>
      </c>
      <c r="H2">
        <v>2</v>
      </c>
      <c r="I2">
        <v>0</v>
      </c>
      <c r="J2">
        <v>0</v>
      </c>
      <c r="K2">
        <v>1</v>
      </c>
      <c r="L2">
        <v>3</v>
      </c>
      <c r="M2">
        <v>0</v>
      </c>
      <c r="N2">
        <v>3</v>
      </c>
      <c r="O2">
        <v>1</v>
      </c>
      <c r="P2">
        <v>2</v>
      </c>
      <c r="Q2">
        <v>0</v>
      </c>
      <c r="R2">
        <v>0</v>
      </c>
      <c r="S2">
        <v>3</v>
      </c>
      <c r="T2">
        <v>1</v>
      </c>
      <c r="U2">
        <v>0</v>
      </c>
      <c r="V2" t="s">
        <v>153</v>
      </c>
      <c r="W2">
        <v>37</v>
      </c>
    </row>
    <row r="3" spans="1:23" x14ac:dyDescent="0.3">
      <c r="A3" t="s">
        <v>142</v>
      </c>
      <c r="B3" s="1">
        <v>2</v>
      </c>
      <c r="C3" t="s">
        <v>67</v>
      </c>
      <c r="D3">
        <v>5</v>
      </c>
      <c r="E3">
        <v>4</v>
      </c>
      <c r="F3">
        <v>2</v>
      </c>
      <c r="G3">
        <v>2</v>
      </c>
      <c r="H3">
        <v>3</v>
      </c>
      <c r="I3">
        <v>2</v>
      </c>
      <c r="J3">
        <v>0</v>
      </c>
      <c r="K3">
        <v>0</v>
      </c>
      <c r="L3">
        <v>5</v>
      </c>
      <c r="M3">
        <v>0</v>
      </c>
      <c r="N3">
        <v>0</v>
      </c>
      <c r="O3">
        <v>4</v>
      </c>
      <c r="P3">
        <v>2</v>
      </c>
      <c r="Q3">
        <v>0</v>
      </c>
      <c r="R3">
        <v>1</v>
      </c>
      <c r="S3">
        <v>1</v>
      </c>
      <c r="T3">
        <v>1</v>
      </c>
      <c r="U3">
        <v>1</v>
      </c>
      <c r="V3" t="s">
        <v>154</v>
      </c>
      <c r="W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2026-05-08T09:15:30Z</dcterms:modified>
  <cp:category/>
  <cp:contentStatus/>
</cp:coreProperties>
</file>